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mariona_floris_martin_es_ey_com/Documents/Desktop/"/>
    </mc:Choice>
  </mc:AlternateContent>
  <xr:revisionPtr revIDLastSave="7" documentId="8_{3A4D6605-3E00-4EDA-8372-AC7A58C927E4}" xr6:coauthVersionLast="47" xr6:coauthVersionMax="47" xr10:uidLastSave="{43F5FFF5-5E8A-4123-B7CB-795E4F2466B9}"/>
  <bookViews>
    <workbookView xWindow="-110" yWindow="-110" windowWidth="19420" windowHeight="11500" tabRatio="843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</sheets>
  <definedNames>
    <definedName name="_xlnm._FilterDatabase" localSheetId="0" hidden="1">'Exercise 1'!$A$1:$O$1</definedName>
    <definedName name="_xlnm._FilterDatabase" localSheetId="1" hidden="1">'Exercise 2'!$A$1:$N$1</definedName>
    <definedName name="_xlnm._FilterDatabase" localSheetId="2" hidden="1">'Exercise 3'!$A$1:$L$1072</definedName>
    <definedName name="_xlnm._FilterDatabase" localSheetId="3" hidden="1">'Exercise 4'!$A$1:$L$1072</definedName>
    <definedName name="_xlnm._FilterDatabase" localSheetId="4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2" i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2" i="2"/>
  <c r="O2" i="2"/>
  <c r="N2" i="2"/>
</calcChain>
</file>

<file path=xl/sharedStrings.xml><?xml version="1.0" encoding="utf-8"?>
<sst xmlns="http://schemas.openxmlformats.org/spreadsheetml/2006/main" count="68739" uniqueCount="9197">
  <si>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</si>
  <si>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</si>
  <si>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</si>
  <si>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</si>
  <si>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</si>
  <si>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</si>
  <si>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</si>
  <si>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</si>
  <si>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</si>
  <si>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</si>
  <si>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</si>
  <si>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</si>
  <si>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</si>
  <si>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</si>
  <si>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</si>
  <si>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</si>
  <si>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</si>
  <si>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</si>
  <si>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</si>
  <si>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</si>
  <si>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</si>
  <si>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</si>
  <si>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</si>
  <si>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</si>
  <si>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</si>
  <si>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</si>
  <si>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</si>
  <si>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</si>
  <si>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</si>
  <si>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</si>
  <si>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</si>
  <si>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</si>
  <si>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</si>
  <si>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</si>
  <si>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</si>
  <si>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</si>
  <si>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</si>
  <si>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</si>
  <si>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</si>
  <si>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</si>
  <si>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</si>
  <si>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</si>
  <si>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</si>
  <si>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</si>
  <si>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</si>
  <si>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</si>
  <si>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</si>
  <si>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</si>
  <si>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</si>
  <si>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</si>
  <si>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</si>
  <si>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</si>
  <si>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</si>
  <si>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</si>
  <si>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</si>
  <si>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</si>
  <si>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</si>
  <si>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</si>
  <si>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</si>
  <si>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</si>
  <si>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</si>
  <si>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</si>
  <si>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</si>
  <si>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</si>
  <si>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</si>
  <si>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</si>
  <si>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</si>
  <si>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</si>
  <si>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</si>
  <si>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</si>
  <si>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</si>
  <si>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</si>
  <si>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</si>
  <si>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</si>
  <si>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</si>
  <si>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</si>
  <si>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</si>
  <si>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</si>
  <si>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</si>
  <si>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</si>
  <si>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</si>
  <si>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</si>
  <si>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</si>
  <si>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</si>
  <si>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</si>
  <si>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</si>
  <si>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</si>
  <si>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</si>
  <si>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</si>
  <si>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</si>
  <si>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</si>
  <si>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</si>
  <si>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</si>
  <si>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</si>
  <si>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</si>
  <si>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</si>
  <si>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</si>
  <si>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</si>
  <si>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</si>
  <si>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</si>
  <si>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</si>
  <si>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</si>
  <si>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</si>
  <si>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</si>
  <si>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</si>
  <si>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</si>
  <si>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</si>
  <si>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</si>
  <si>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</si>
  <si>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</si>
  <si>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</si>
  <si>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</si>
  <si>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</si>
  <si>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</si>
  <si>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</si>
  <si>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</si>
  <si>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</si>
  <si>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</si>
  <si>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</si>
  <si>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</si>
  <si>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</si>
  <si>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</si>
  <si>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</si>
  <si>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</si>
  <si>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</si>
  <si>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</si>
  <si>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</si>
  <si>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</si>
  <si>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</si>
  <si>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</si>
  <si>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</si>
  <si>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</si>
  <si>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</si>
  <si>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</si>
  <si>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</si>
  <si>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</si>
  <si>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</si>
  <si>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</si>
  <si>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</si>
  <si>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</si>
  <si>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</si>
  <si>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</si>
  <si>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</si>
  <si>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</si>
  <si>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</si>
  <si>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</si>
  <si>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</si>
  <si>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</si>
  <si>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</si>
  <si>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</si>
  <si>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</si>
  <si>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</si>
  <si>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</si>
  <si>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</si>
  <si>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</si>
  <si>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</si>
  <si>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</si>
  <si>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</si>
  <si>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</si>
  <si>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</si>
  <si>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</si>
  <si>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</si>
  <si>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</si>
  <si>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</si>
  <si>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</si>
  <si>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</si>
  <si>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</si>
  <si>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</si>
  <si>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</si>
  <si>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</si>
  <si>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</si>
  <si>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</si>
  <si>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</si>
  <si>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</si>
  <si>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</si>
  <si>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</si>
  <si>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</si>
  <si>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</si>
  <si>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</si>
  <si>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</si>
  <si>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</si>
  <si>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</si>
  <si>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</si>
  <si>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</si>
  <si>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</si>
  <si>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</si>
  <si>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</si>
  <si>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</si>
  <si>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</si>
  <si>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</si>
  <si>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</si>
  <si>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</si>
  <si>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</si>
  <si>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</si>
  <si>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</si>
  <si>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</si>
  <si>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</si>
  <si>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</si>
  <si>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</si>
  <si>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</si>
  <si>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</si>
  <si>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</si>
  <si>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</si>
  <si>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</si>
  <si>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</si>
  <si>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</si>
  <si>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</si>
  <si>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</si>
  <si>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</si>
  <si>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</si>
  <si>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</si>
  <si>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</si>
  <si>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</si>
  <si>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</si>
  <si>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</si>
  <si>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</si>
  <si>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</si>
  <si>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</si>
  <si>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</si>
  <si>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</si>
  <si>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</si>
  <si>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</si>
  <si>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</si>
  <si>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</si>
  <si>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</si>
  <si>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</si>
  <si>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</si>
  <si>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</si>
  <si>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</si>
  <si>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</si>
  <si>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</si>
  <si>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</si>
  <si>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</si>
  <si>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</si>
  <si>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</si>
  <si>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</si>
  <si>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</si>
  <si>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</si>
  <si>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</si>
  <si>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</si>
  <si>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</si>
  <si>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</si>
  <si>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</si>
  <si>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</si>
  <si>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</si>
  <si>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</si>
  <si>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</si>
  <si>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</si>
  <si>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</si>
  <si>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</si>
  <si>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</si>
  <si>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</si>
  <si>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</si>
  <si>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</si>
  <si>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</si>
  <si>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</si>
  <si>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</si>
  <si>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</si>
  <si>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</si>
  <si>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</si>
  <si>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</si>
  <si>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</si>
  <si>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</si>
  <si>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</si>
  <si>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</si>
  <si>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</si>
  <si>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</si>
  <si>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</si>
  <si>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</si>
  <si>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</si>
  <si>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</si>
  <si>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</si>
  <si>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</si>
  <si>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</si>
  <si>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</si>
  <si>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</si>
  <si>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</si>
  <si>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</si>
  <si>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</si>
  <si>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</si>
  <si>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</si>
  <si>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</si>
  <si>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</si>
  <si>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</si>
  <si>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</si>
  <si>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</si>
  <si>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</si>
  <si>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</si>
  <si>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</si>
  <si>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</si>
  <si>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</si>
  <si>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</si>
  <si>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</si>
  <si>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</si>
  <si>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</si>
  <si>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</si>
  <si>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</si>
  <si>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</si>
  <si>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</si>
  <si>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</si>
  <si>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</si>
  <si>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</si>
  <si>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</si>
  <si>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</si>
  <si>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</si>
  <si>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</si>
  <si>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</si>
  <si>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</si>
  <si>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</si>
  <si>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</si>
  <si>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</si>
  <si>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</si>
  <si>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</si>
  <si>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</si>
  <si>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</si>
  <si>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</si>
  <si>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</si>
  <si>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</si>
  <si>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</si>
  <si>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</si>
  <si>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</si>
  <si>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</si>
  <si>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</si>
  <si>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</si>
  <si>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</si>
  <si>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</si>
  <si>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</si>
  <si>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</si>
  <si>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</si>
  <si>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</si>
  <si>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</si>
  <si>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</si>
  <si>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</si>
  <si>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</si>
  <si>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</si>
  <si>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</si>
  <si>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</si>
  <si>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</si>
  <si>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</si>
  <si>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</si>
  <si>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</si>
  <si>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</si>
  <si>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</si>
  <si>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</si>
  <si>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</si>
  <si>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</si>
  <si>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</si>
  <si>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</si>
  <si>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</si>
  <si>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</si>
  <si>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</si>
  <si>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</si>
  <si>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</si>
  <si>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</si>
  <si>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</si>
  <si>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</si>
  <si>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</si>
  <si>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</si>
  <si>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</si>
  <si>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</si>
  <si>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</si>
  <si>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</si>
  <si>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</si>
  <si>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</si>
  <si>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</si>
  <si>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</si>
  <si>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</si>
  <si>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</si>
  <si>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</si>
  <si>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</si>
  <si>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</si>
  <si>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</si>
  <si>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</si>
  <si>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</si>
  <si>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</si>
  <si>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</si>
  <si>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</si>
  <si>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</si>
  <si>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</si>
  <si>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</si>
  <si>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</si>
  <si>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</si>
  <si>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</si>
  <si>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</si>
  <si>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</si>
  <si>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</si>
  <si>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</si>
  <si>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</si>
  <si>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</si>
  <si>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</si>
  <si>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</si>
  <si>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</si>
  <si>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</si>
  <si>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</si>
  <si>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</si>
  <si>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</si>
  <si>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</si>
  <si>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</si>
  <si>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</si>
  <si>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</si>
  <si>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</si>
  <si>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</si>
  <si>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</si>
  <si>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</si>
  <si>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</si>
  <si>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</si>
  <si>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</si>
  <si>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</si>
  <si>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</si>
  <si>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</si>
  <si>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</si>
  <si>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</si>
  <si>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</si>
  <si>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</si>
  <si>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</si>
  <si>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</si>
  <si>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</si>
  <si>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</si>
  <si>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</si>
  <si>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</si>
  <si>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</si>
  <si>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</si>
  <si>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</si>
  <si>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</si>
  <si>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</si>
  <si>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</si>
  <si>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</si>
  <si>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</si>
  <si>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</si>
  <si>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</si>
  <si>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</si>
  <si>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</si>
  <si>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</si>
  <si>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</si>
  <si>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</si>
  <si>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</si>
  <si>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</si>
  <si>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</si>
  <si>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</si>
  <si>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</si>
  <si>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</si>
  <si>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</si>
  <si>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</si>
  <si>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</si>
  <si>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</si>
  <si>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</si>
  <si>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</si>
  <si>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</si>
  <si>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</si>
  <si>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</si>
  <si>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</si>
  <si>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</si>
  <si>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</si>
  <si>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</si>
  <si>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</si>
  <si>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</si>
  <si>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</si>
  <si>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</si>
  <si>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</si>
  <si>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</si>
  <si>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</si>
  <si>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</si>
  <si>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</si>
  <si>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</si>
  <si>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</si>
  <si>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</si>
  <si>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</si>
  <si>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</si>
  <si>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</si>
  <si>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</si>
  <si>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</si>
  <si>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</si>
  <si>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</si>
  <si>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</si>
  <si>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</si>
  <si>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</si>
  <si>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</si>
  <si>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</si>
  <si>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</si>
  <si>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</si>
  <si>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</si>
  <si>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</si>
  <si>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</si>
  <si>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</si>
  <si>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</si>
  <si>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</si>
  <si>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</si>
  <si>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</si>
  <si>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</si>
  <si>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</si>
  <si>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</si>
  <si>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</si>
  <si>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</si>
  <si>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</si>
  <si>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</si>
  <si>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</si>
  <si>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</si>
  <si>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</si>
  <si>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</si>
  <si>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</si>
  <si>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</si>
  <si>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</si>
  <si>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</si>
  <si>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</si>
  <si>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</si>
  <si>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</si>
  <si>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</si>
  <si>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</si>
  <si>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</si>
  <si>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</si>
  <si>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</si>
  <si>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</si>
  <si>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</si>
  <si>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</si>
  <si>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</si>
  <si>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</si>
  <si>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</si>
  <si>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</si>
  <si>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</si>
  <si>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</si>
  <si>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</si>
  <si>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</si>
  <si>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</si>
  <si>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</si>
  <si>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</si>
  <si>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</si>
  <si>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</si>
  <si>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</si>
  <si>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</si>
  <si>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</si>
  <si>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</si>
  <si>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</si>
  <si>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</si>
  <si>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</si>
  <si>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</si>
  <si>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</si>
  <si>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</si>
  <si>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</si>
  <si>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</si>
  <si>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</si>
  <si>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</si>
  <si>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</si>
  <si>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</si>
  <si>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</si>
  <si>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</si>
  <si>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</si>
  <si>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</si>
  <si>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</si>
  <si>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</si>
  <si>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</si>
  <si>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</si>
  <si>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</si>
  <si>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</si>
  <si>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</si>
  <si>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</si>
  <si>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</si>
  <si>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</si>
  <si>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</si>
  <si>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</si>
  <si>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</si>
  <si>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</si>
  <si>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</si>
  <si>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</si>
  <si>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</si>
  <si>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</si>
  <si>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</si>
  <si>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</si>
  <si>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</si>
  <si>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</si>
  <si>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</si>
  <si>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</si>
  <si>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</si>
  <si>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</si>
  <si>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</si>
  <si>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</si>
  <si>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</si>
  <si>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</si>
  <si>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</si>
  <si>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</si>
  <si>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</si>
  <si>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</si>
  <si>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</si>
  <si>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</si>
  <si>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</si>
  <si>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</si>
  <si>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</si>
  <si>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</si>
  <si>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</si>
  <si>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</si>
  <si>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</si>
  <si>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</si>
  <si>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</si>
  <si>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</si>
  <si>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</si>
  <si>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</si>
  <si>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</si>
  <si>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</si>
  <si>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</si>
  <si>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</si>
  <si>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</si>
  <si>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</si>
  <si>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</si>
  <si>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</si>
  <si>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</si>
  <si>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</si>
  <si>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</si>
  <si>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</si>
  <si>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</si>
  <si>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</si>
  <si>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</si>
  <si>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</si>
  <si>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</si>
  <si>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</si>
  <si>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</si>
  <si>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</si>
  <si>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</si>
  <si>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</si>
  <si>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</si>
  <si>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</si>
  <si>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</si>
  <si>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</si>
  <si>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</si>
  <si>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</si>
  <si>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</si>
  <si>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</si>
  <si>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</si>
  <si>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</si>
  <si>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</si>
  <si>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</si>
  <si>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</si>
  <si>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</si>
  <si>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</si>
  <si>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</si>
  <si>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</si>
  <si>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</si>
  <si>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</si>
  <si>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</si>
  <si>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</si>
  <si>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</si>
  <si>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</si>
  <si>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</si>
  <si>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</si>
  <si>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</si>
  <si>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</si>
  <si>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</si>
  <si>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</si>
  <si>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</si>
  <si>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</si>
  <si>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</si>
  <si>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</si>
  <si>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</si>
  <si>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</si>
  <si>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</si>
  <si>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</si>
  <si>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</si>
  <si>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</si>
  <si>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</si>
  <si>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</si>
  <si>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</si>
  <si>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</si>
  <si>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</si>
  <si>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</si>
  <si>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</si>
  <si>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</si>
  <si>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</si>
  <si>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</si>
  <si>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</si>
  <si>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</si>
  <si>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</si>
  <si>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</si>
  <si>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</si>
  <si>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</si>
  <si>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</si>
  <si>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</si>
  <si>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</si>
  <si>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</si>
  <si>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</si>
  <si>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</si>
  <si>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</si>
  <si>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</si>
  <si>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</si>
  <si>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</si>
  <si>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</si>
  <si>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</si>
  <si>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</si>
  <si>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</si>
  <si>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</si>
  <si>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</si>
  <si>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</si>
  <si>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</si>
  <si>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</si>
  <si>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</si>
  <si>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</si>
  <si>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</si>
  <si>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</si>
  <si>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</si>
  <si>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</si>
  <si>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</si>
  <si>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</si>
  <si>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</si>
  <si>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</si>
  <si>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</si>
  <si>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</si>
  <si>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</si>
  <si>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</si>
  <si>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</si>
  <si>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</si>
  <si>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</si>
  <si>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</si>
  <si>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</si>
  <si>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</si>
  <si>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</si>
  <si>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</si>
  <si>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</si>
  <si>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</si>
  <si>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</si>
  <si>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</si>
  <si>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</si>
  <si>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</si>
  <si>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</si>
  <si>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</si>
  <si>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</si>
  <si>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</si>
  <si>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</si>
  <si>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</si>
  <si>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</si>
  <si>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</si>
  <si>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</si>
  <si>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</si>
  <si>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</si>
  <si>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</si>
  <si>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</si>
  <si>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</si>
  <si>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</si>
  <si>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</si>
  <si>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</si>
  <si>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</si>
  <si>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</si>
  <si>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</si>
  <si>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</si>
  <si>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</si>
  <si>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</si>
  <si>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</si>
  <si>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</si>
  <si>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</si>
  <si>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</si>
  <si>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</si>
  <si>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</si>
  <si>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</si>
  <si>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</si>
  <si>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</si>
  <si>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</si>
  <si>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</si>
  <si>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</si>
  <si>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</si>
  <si>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</si>
  <si>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</si>
  <si>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</si>
  <si>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</si>
  <si>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</si>
  <si>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</si>
  <si>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</si>
  <si>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</si>
  <si>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</si>
  <si>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</si>
  <si>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</si>
  <si>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</si>
  <si>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</si>
  <si>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</si>
  <si>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</si>
  <si>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</si>
  <si>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</si>
  <si>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</si>
  <si>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</si>
  <si>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</si>
  <si>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</si>
  <si>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</si>
  <si>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</si>
  <si>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</si>
  <si>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</si>
  <si>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</si>
  <si>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</si>
  <si>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</si>
  <si>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</si>
  <si>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</si>
  <si>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</si>
  <si>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</si>
  <si>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</si>
  <si>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</si>
  <si>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</si>
  <si>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</si>
  <si>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</si>
  <si>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</si>
  <si>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</si>
  <si>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</si>
  <si>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</si>
  <si>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</si>
  <si>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</si>
  <si>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</si>
  <si>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</si>
  <si>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</si>
  <si>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</si>
  <si>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</si>
  <si>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</si>
  <si>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</si>
  <si>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</si>
  <si>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</si>
  <si>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</si>
  <si>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</si>
  <si>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</si>
  <si>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</si>
  <si>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</si>
  <si>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</si>
  <si>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</si>
  <si>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</si>
  <si>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</si>
  <si>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</si>
  <si>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</si>
  <si>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</si>
  <si>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</si>
  <si>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</si>
  <si>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</si>
  <si>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</si>
  <si>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</si>
  <si>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</si>
  <si>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</si>
  <si>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</si>
  <si>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</si>
  <si>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</si>
  <si>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</si>
  <si>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</si>
  <si>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</si>
  <si>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</si>
  <si>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</si>
  <si>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</si>
  <si>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</si>
  <si>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</si>
  <si>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</si>
  <si>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</si>
  <si>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</si>
  <si>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</si>
  <si>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</si>
  <si>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</si>
  <si>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</si>
  <si>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</si>
  <si>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</si>
  <si>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</si>
  <si>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</si>
  <si>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</si>
  <si>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</si>
  <si>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</si>
  <si>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</si>
  <si>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</si>
  <si>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</si>
  <si>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</si>
  <si>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</si>
  <si>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</si>
  <si>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</si>
  <si>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</si>
  <si>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</si>
  <si>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</si>
  <si>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</si>
  <si>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</si>
  <si>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</si>
  <si>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</si>
  <si>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</si>
  <si>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</si>
  <si>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</si>
  <si>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</si>
  <si>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</si>
  <si>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</si>
  <si>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</si>
  <si>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</si>
  <si>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</si>
  <si>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</si>
  <si>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</si>
  <si>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</si>
  <si>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</si>
  <si>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</si>
  <si>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</si>
  <si>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</si>
  <si>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</si>
  <si>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</si>
  <si>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</si>
  <si>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</si>
  <si>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</si>
  <si>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</si>
  <si>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</si>
  <si>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</si>
  <si>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</si>
  <si>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</si>
  <si>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</si>
  <si>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</si>
  <si>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</si>
  <si>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</si>
  <si>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</si>
  <si>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</si>
  <si>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</si>
  <si>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</si>
  <si>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</si>
  <si>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</si>
  <si>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</si>
  <si>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</si>
  <si>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</si>
  <si>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</si>
  <si>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</si>
  <si>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</si>
  <si>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</si>
  <si>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</si>
  <si>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</si>
  <si>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</si>
  <si>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</si>
  <si>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</si>
  <si>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</si>
  <si>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</si>
  <si>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</si>
  <si>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</si>
  <si>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</si>
  <si>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</si>
  <si>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</si>
  <si>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</si>
  <si>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</si>
  <si>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</si>
  <si>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</si>
  <si>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</si>
  <si>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</si>
  <si>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</si>
  <si>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</si>
  <si>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</si>
  <si>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</si>
  <si>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</si>
  <si>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</si>
  <si>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</si>
  <si>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</si>
  <si>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</si>
  <si>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</si>
  <si>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</si>
  <si>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</si>
  <si>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</si>
  <si>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</si>
  <si>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</si>
  <si>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</si>
  <si>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</si>
  <si>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</si>
  <si>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</si>
  <si>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</si>
  <si>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</si>
  <si>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</si>
  <si>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</si>
  <si>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</si>
  <si>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</si>
  <si>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</si>
  <si>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</si>
  <si>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</si>
  <si>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</si>
  <si>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</si>
  <si>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</si>
  <si>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</si>
  <si>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</si>
  <si>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</si>
  <si>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</si>
  <si>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</si>
  <si>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</si>
  <si>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</si>
  <si>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</si>
  <si>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</si>
  <si>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</si>
  <si>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</si>
  <si>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</si>
  <si>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</si>
  <si>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</si>
  <si>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</si>
  <si>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</si>
  <si>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</si>
  <si>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</si>
  <si>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</si>
  <si>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</si>
  <si>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</si>
  <si>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</si>
  <si>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</si>
  <si>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</si>
  <si>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</si>
  <si>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</si>
  <si>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</si>
  <si>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</si>
  <si>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</si>
  <si>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</si>
  <si>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</si>
  <si>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</si>
  <si>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</si>
  <si>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</si>
  <si>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</si>
  <si>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</si>
  <si>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</si>
  <si>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</si>
  <si>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</si>
  <si>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</si>
  <si>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</si>
  <si>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</si>
  <si>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</si>
  <si>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</si>
  <si>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</si>
  <si>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</si>
  <si>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</si>
  <si>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</si>
  <si>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</si>
  <si>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</si>
  <si>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</si>
  <si>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</si>
  <si>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</si>
  <si>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</si>
  <si>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</si>
  <si>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</si>
  <si>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</si>
  <si>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</si>
  <si>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</si>
  <si>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</si>
  <si>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</si>
  <si>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</si>
  <si>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</si>
  <si>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</si>
  <si>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</si>
  <si>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</si>
  <si>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</si>
  <si>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</si>
  <si>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</si>
  <si>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</si>
  <si>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</si>
  <si>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</si>
  <si>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</si>
  <si>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</si>
  <si>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</si>
  <si>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</si>
  <si>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</si>
  <si>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</si>
  <si>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</si>
  <si>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</si>
  <si>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</si>
  <si>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</si>
  <si>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</si>
  <si>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</si>
  <si>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</si>
  <si>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</si>
  <si>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</si>
  <si>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</si>
  <si>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</si>
  <si>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</si>
  <si>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</si>
  <si>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</si>
  <si>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</si>
  <si>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</si>
  <si>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</si>
  <si>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</si>
  <si>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</si>
  <si>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</si>
  <si>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</si>
  <si>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</si>
  <si>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</si>
  <si>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</si>
  <si>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</si>
  <si>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</si>
  <si>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</si>
  <si>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</si>
  <si>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</si>
  <si>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</si>
  <si>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</si>
  <si>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</si>
  <si>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</si>
  <si>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</si>
  <si>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</si>
  <si>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</si>
  <si>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</si>
  <si>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</si>
  <si>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</si>
  <si>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</si>
  <si>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</si>
  <si>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</si>
  <si>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</si>
  <si>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</si>
  <si>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</si>
  <si>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</si>
  <si>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</si>
  <si>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</si>
  <si>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</si>
  <si>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</si>
  <si>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</si>
  <si>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</si>
  <si>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</si>
  <si>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</si>
  <si>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</si>
  <si>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</si>
  <si>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</si>
  <si>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</si>
  <si>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</si>
  <si>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</si>
  <si>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</si>
  <si>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</si>
  <si>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</si>
  <si>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</si>
  <si>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</si>
  <si>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</si>
  <si>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</si>
  <si>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</si>
  <si>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</si>
  <si>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</si>
  <si>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</si>
  <si>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</si>
  <si>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</si>
  <si>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</si>
  <si>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</si>
  <si>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</si>
  <si>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</si>
  <si>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</si>
  <si>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</si>
  <si>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</si>
  <si>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</si>
  <si>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</si>
  <si>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</si>
  <si>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</si>
  <si>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</si>
  <si>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</si>
  <si>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</si>
  <si>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</si>
  <si>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</si>
  <si>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</si>
  <si>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</si>
  <si>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</si>
  <si>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</si>
  <si>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</si>
  <si>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</si>
  <si>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</si>
  <si>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</si>
  <si>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</si>
  <si>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</si>
  <si>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</si>
  <si>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</si>
  <si>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</si>
  <si>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</si>
  <si>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</si>
  <si>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</si>
  <si>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</si>
  <si>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</si>
  <si>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</si>
  <si>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</si>
  <si>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</si>
  <si>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</si>
  <si>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</si>
  <si>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</si>
  <si>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</si>
  <si>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</si>
  <si>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</si>
  <si>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</si>
  <si>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</si>
  <si>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</si>
  <si>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</si>
  <si>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</si>
  <si>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</si>
  <si>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</si>
  <si>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</si>
  <si>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</si>
  <si>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</si>
  <si>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</si>
  <si>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</si>
  <si>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</si>
  <si>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</si>
  <si>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</si>
  <si>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</si>
  <si>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</si>
  <si>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</si>
  <si>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</si>
  <si>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</si>
  <si>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</si>
  <si>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</si>
  <si>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</si>
  <si>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</si>
  <si>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</si>
  <si>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</si>
  <si>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</si>
  <si>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</si>
  <si>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</si>
  <si>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</si>
  <si>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</si>
  <si>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</si>
  <si>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</si>
  <si>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</si>
  <si>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</si>
  <si>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</si>
  <si>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</si>
  <si>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</si>
  <si>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</si>
  <si>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</si>
  <si>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</si>
  <si>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</si>
  <si>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</si>
  <si>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</si>
  <si>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</si>
  <si>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</si>
  <si>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</si>
  <si>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</si>
  <si>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</si>
  <si>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</si>
  <si>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</si>
  <si>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</si>
  <si>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</si>
  <si>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</si>
  <si>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</si>
  <si>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</si>
  <si>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</si>
  <si>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</si>
  <si>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</si>
  <si>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</si>
  <si>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</si>
  <si>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</si>
  <si>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</si>
  <si>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</si>
  <si>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</si>
  <si>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</si>
  <si>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</si>
  <si>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</si>
  <si>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</si>
  <si>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</si>
  <si>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</si>
  <si>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</si>
  <si>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</si>
  <si>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</si>
  <si>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</si>
  <si>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</si>
  <si>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</si>
  <si>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</si>
  <si>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</si>
  <si>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</si>
  <si>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</si>
  <si>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</si>
  <si>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</si>
  <si>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</si>
  <si>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</si>
  <si>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</si>
  <si>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</si>
  <si>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</si>
  <si>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</si>
  <si>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</si>
  <si>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</si>
  <si>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</si>
  <si>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</si>
  <si>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</si>
  <si>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</si>
  <si>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</si>
  <si>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</si>
  <si>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</si>
  <si>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</si>
  <si>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</si>
  <si>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</si>
  <si>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</si>
  <si>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</si>
  <si>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</si>
  <si>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</si>
  <si>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</si>
  <si>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</si>
  <si>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</si>
  <si>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</si>
  <si>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</si>
  <si>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</si>
  <si>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</si>
  <si>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</si>
  <si>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</si>
  <si>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</si>
  <si>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</si>
  <si>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</si>
  <si>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</si>
  <si>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</si>
  <si>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</si>
  <si>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</si>
  <si>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</si>
  <si>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</si>
  <si>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</si>
  <si>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</si>
  <si>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</si>
  <si>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</si>
  <si>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</si>
  <si>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</si>
  <si>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</si>
  <si>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</si>
  <si>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</si>
  <si>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</si>
  <si>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</si>
  <si>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</si>
  <si>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</si>
  <si>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</si>
  <si>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</si>
  <si>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</si>
  <si>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</si>
  <si>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</si>
  <si>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</si>
  <si>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</si>
  <si>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</si>
  <si>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</si>
  <si>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</si>
  <si>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</si>
  <si>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</si>
  <si>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</si>
  <si>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</si>
  <si>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</si>
  <si>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</si>
  <si>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</si>
  <si>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</si>
  <si>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</si>
  <si>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</si>
  <si>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</si>
  <si>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</si>
  <si>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</si>
  <si>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</si>
  <si>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</si>
  <si>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</si>
  <si>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</si>
  <si>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</si>
  <si>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</si>
  <si>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</si>
  <si>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</si>
  <si>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</si>
  <si>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</si>
  <si>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</si>
  <si>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</si>
  <si>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</si>
  <si>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</si>
  <si>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</si>
  <si>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</si>
  <si>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</si>
  <si>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</si>
  <si>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</si>
  <si>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</si>
  <si>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</si>
  <si>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</si>
  <si>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</si>
  <si>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</si>
  <si>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</si>
  <si>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</si>
  <si>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</si>
  <si>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</si>
  <si>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</si>
  <si>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</si>
  <si>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</si>
  <si>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</si>
  <si>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</si>
  <si>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</si>
  <si>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</si>
  <si>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</si>
  <si>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</si>
  <si>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</si>
  <si>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</si>
  <si>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</si>
  <si>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</si>
  <si>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</si>
  <si>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</si>
  <si>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</si>
  <si>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</si>
  <si>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</si>
  <si>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</si>
  <si>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</si>
  <si>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</si>
  <si>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</si>
  <si>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</si>
  <si>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</si>
  <si>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</si>
  <si>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</si>
  <si>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</si>
  <si>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</si>
  <si>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</si>
  <si>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</si>
  <si>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</si>
  <si>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</si>
  <si>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</si>
  <si>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</si>
  <si>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</si>
  <si>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</si>
  <si>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</si>
  <si>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</si>
  <si>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</si>
  <si>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</si>
  <si>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</si>
  <si>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</si>
  <si>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</si>
  <si>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</si>
  <si>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</si>
  <si>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</si>
  <si>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</si>
  <si>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</si>
  <si>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</si>
  <si>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</si>
  <si>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</si>
  <si>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</si>
  <si>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</si>
  <si>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</si>
  <si>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</si>
  <si>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</si>
  <si>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</si>
  <si>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</si>
  <si>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</si>
  <si>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</si>
  <si>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</si>
  <si>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</si>
  <si>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</si>
  <si>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</si>
  <si>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</si>
  <si>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</si>
  <si>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</si>
  <si>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</si>
  <si>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</si>
  <si>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</si>
  <si>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</si>
  <si>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</si>
  <si>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</si>
  <si>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</si>
  <si>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</si>
  <si>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</si>
  <si>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</si>
  <si>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</si>
  <si>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</si>
  <si>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</si>
  <si>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</si>
  <si>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</si>
  <si>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</si>
  <si>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</si>
  <si>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</si>
  <si>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</si>
  <si>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</si>
  <si>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</si>
  <si>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</si>
  <si>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</si>
  <si>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</si>
  <si>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</si>
  <si>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</si>
  <si>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</si>
  <si>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</si>
  <si>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</si>
  <si>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</si>
  <si>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</si>
  <si>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</si>
  <si>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</si>
  <si>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</si>
  <si>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</si>
  <si>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</si>
  <si>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</si>
  <si>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</si>
  <si>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</si>
  <si>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</si>
  <si>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</si>
  <si>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</si>
  <si>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</si>
  <si>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</si>
  <si>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</si>
  <si>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</si>
  <si>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</si>
  <si>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</si>
  <si>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</si>
  <si>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</si>
  <si>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</si>
  <si>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</si>
  <si>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</si>
  <si>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</si>
  <si>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</si>
  <si>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</si>
  <si>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</si>
  <si>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</si>
  <si>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</si>
  <si>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</si>
  <si>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</si>
  <si>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</si>
  <si>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</si>
  <si>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</si>
  <si>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</si>
  <si>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</si>
  <si>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</si>
  <si>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</si>
  <si>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</si>
  <si>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</si>
  <si>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</si>
  <si>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</si>
  <si>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</si>
  <si>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</si>
  <si>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</si>
  <si>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</si>
  <si>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</si>
  <si>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</si>
  <si>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</si>
  <si>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</si>
  <si>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</si>
  <si>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</si>
  <si>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</si>
  <si>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</si>
  <si>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</si>
  <si>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</si>
  <si>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</si>
  <si>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</si>
  <si>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</si>
  <si>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</si>
  <si>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</si>
  <si>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</si>
  <si>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</si>
  <si>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</si>
  <si>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</si>
  <si>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</si>
  <si>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</si>
  <si>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</si>
  <si>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</si>
  <si>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</si>
  <si>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</si>
  <si>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</si>
  <si>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</si>
  <si>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</si>
  <si>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</si>
  <si>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</si>
  <si>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</si>
  <si>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</si>
  <si>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</si>
  <si>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</si>
  <si>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</si>
  <si>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</si>
  <si>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</si>
  <si>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</si>
  <si>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</si>
  <si>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</si>
  <si>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</si>
  <si>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</si>
  <si>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</si>
  <si>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</si>
  <si>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</si>
  <si>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</si>
  <si>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</si>
  <si>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</si>
  <si>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</si>
  <si>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</si>
  <si>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</si>
  <si>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</si>
  <si>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</si>
  <si>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</si>
  <si>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</si>
  <si>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</si>
  <si>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</si>
  <si>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</si>
  <si>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</si>
  <si>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</si>
  <si>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</si>
  <si>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</si>
  <si>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</si>
  <si>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</si>
  <si>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</si>
  <si>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</si>
  <si>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</si>
  <si>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</si>
  <si>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</si>
  <si>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</si>
  <si>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</si>
  <si>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</si>
  <si>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</si>
  <si>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</si>
  <si>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</si>
  <si>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</si>
  <si>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</si>
  <si>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</si>
  <si>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</si>
  <si>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</si>
  <si>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</si>
  <si>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</si>
  <si>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</si>
  <si>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</si>
  <si>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</si>
  <si>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</si>
  <si>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</si>
  <si>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</si>
  <si>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</si>
  <si>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</si>
  <si>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</si>
  <si>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</si>
  <si>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</si>
  <si>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</si>
  <si>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</si>
  <si>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</si>
  <si>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</si>
  <si>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</si>
  <si>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</si>
  <si>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</si>
  <si>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</si>
  <si>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</si>
  <si>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</si>
  <si>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</si>
  <si>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</si>
  <si>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</si>
  <si>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</si>
  <si>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</si>
  <si>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</si>
  <si>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</si>
  <si>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</si>
  <si>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</si>
  <si>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</si>
  <si>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</si>
  <si>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</si>
  <si>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</si>
  <si>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</si>
  <si>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</si>
  <si>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</si>
  <si>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</si>
  <si>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</si>
  <si>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</si>
  <si>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</si>
  <si>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</si>
  <si>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</si>
  <si>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</si>
  <si>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</si>
  <si>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</si>
  <si>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</si>
  <si>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</si>
  <si>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</si>
  <si>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</si>
  <si>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</si>
  <si>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</si>
  <si>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</si>
  <si>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</si>
  <si>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</si>
  <si>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</si>
  <si>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</si>
  <si>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</si>
  <si>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</si>
  <si>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</si>
  <si>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</si>
  <si>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</si>
  <si>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</si>
  <si>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</si>
  <si>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</si>
  <si>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</si>
  <si>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</si>
  <si>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</si>
  <si>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</si>
  <si>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</si>
  <si>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</si>
  <si>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</si>
  <si>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</si>
  <si>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</si>
  <si>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</si>
  <si>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</si>
  <si>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</si>
  <si>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</si>
  <si>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</si>
  <si>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</si>
  <si>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</si>
  <si>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</si>
  <si>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</si>
  <si>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</si>
  <si>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</si>
  <si>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</si>
  <si>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</si>
  <si>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</si>
  <si>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</si>
  <si>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</si>
  <si>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</si>
  <si>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</si>
  <si>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</si>
  <si>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</si>
  <si>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</si>
  <si>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</si>
  <si>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</si>
  <si>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</si>
  <si>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</si>
  <si>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</si>
  <si>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</si>
  <si>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</si>
  <si>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</si>
  <si>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</si>
  <si>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</si>
  <si>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</si>
  <si>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</si>
  <si>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</si>
  <si>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</si>
  <si>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</si>
  <si>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</si>
  <si>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</si>
  <si>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</si>
  <si>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</si>
  <si>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</si>
  <si>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</si>
  <si>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</si>
  <si>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</si>
  <si>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</si>
  <si>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</si>
  <si>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</si>
  <si>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</si>
  <si>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</si>
  <si>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</si>
  <si>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</si>
  <si>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</si>
  <si>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</si>
  <si>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</si>
  <si>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</si>
  <si>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</si>
  <si>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</si>
  <si>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</si>
  <si>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</si>
  <si>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</si>
  <si>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</si>
  <si>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</si>
  <si>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</si>
  <si>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</si>
  <si>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</si>
  <si>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</si>
  <si>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</si>
  <si>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</si>
  <si>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</si>
  <si>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</si>
  <si>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</si>
  <si>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</si>
  <si>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</si>
  <si>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</si>
  <si>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</si>
  <si>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</si>
  <si>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</si>
  <si>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</si>
  <si>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</si>
  <si>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</si>
  <si>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</si>
  <si>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</si>
  <si>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</si>
  <si>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</si>
  <si>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</si>
  <si>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</si>
  <si>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</si>
  <si>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</si>
  <si>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</si>
  <si>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</si>
  <si>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</si>
  <si>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</si>
  <si>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</si>
  <si>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</si>
  <si>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</si>
  <si>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</si>
  <si>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</si>
  <si>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</si>
  <si>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</si>
  <si>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</si>
  <si>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</si>
  <si>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</si>
  <si>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</si>
  <si>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</si>
  <si>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</si>
  <si>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</si>
  <si>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</si>
  <si>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</si>
  <si>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</si>
  <si>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</si>
  <si>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</si>
  <si>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</si>
  <si>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</si>
  <si>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</si>
  <si>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</si>
  <si>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</si>
  <si>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</si>
  <si>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</si>
  <si>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</si>
  <si>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</si>
  <si>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</si>
  <si>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</si>
  <si>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</si>
  <si>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</si>
  <si>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</si>
  <si>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</si>
  <si>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</si>
  <si>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</si>
  <si>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</si>
  <si>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</si>
  <si>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</si>
  <si>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</si>
  <si>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</si>
  <si>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</si>
  <si>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</si>
  <si>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</si>
  <si>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</si>
  <si>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</si>
  <si>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</si>
  <si>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</si>
  <si>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</si>
  <si>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</si>
  <si>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</si>
  <si>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</si>
  <si>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</si>
  <si>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</si>
  <si>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</si>
  <si>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</si>
  <si>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</si>
  <si>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</si>
  <si>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</si>
  <si>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</si>
  <si>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</si>
  <si>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</si>
  <si>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</si>
  <si>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</si>
  <si>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</si>
  <si>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</si>
  <si>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</si>
  <si>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</si>
  <si>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</si>
  <si>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</si>
  <si>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</si>
  <si>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</si>
  <si>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</si>
  <si>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</si>
  <si>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</si>
  <si>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</si>
  <si>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</si>
  <si>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</si>
  <si>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</si>
  <si>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</si>
  <si>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</si>
  <si>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</si>
  <si>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</si>
  <si>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</si>
  <si>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</si>
  <si>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</si>
  <si>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</si>
  <si>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</si>
  <si>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</si>
  <si>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</si>
  <si>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</si>
  <si>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</si>
  <si>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</si>
  <si>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</si>
  <si>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</si>
  <si>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</si>
  <si>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</si>
  <si>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</si>
  <si>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</si>
  <si>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</si>
  <si>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</si>
  <si>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</si>
  <si>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</si>
  <si>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</si>
  <si>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</si>
  <si>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</si>
  <si>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</si>
  <si>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</si>
  <si>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</si>
  <si>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</si>
  <si>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</si>
  <si>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</si>
  <si>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</si>
  <si>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</si>
  <si>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</si>
  <si>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</si>
  <si>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</si>
  <si>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</si>
  <si>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</si>
  <si>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</si>
  <si>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</si>
  <si>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</si>
  <si>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</si>
  <si>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</si>
  <si>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</si>
  <si>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</si>
  <si>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</si>
  <si>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</si>
  <si>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</si>
  <si>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</si>
  <si>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</si>
  <si>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</si>
  <si>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</si>
  <si>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</si>
  <si>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</si>
  <si>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</si>
  <si>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</si>
  <si>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</si>
  <si>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</si>
  <si>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</si>
  <si>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</si>
  <si>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</si>
  <si>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</si>
  <si>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</si>
  <si>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</si>
  <si>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</si>
  <si>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</si>
  <si>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</si>
  <si>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</si>
  <si>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</si>
  <si>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</si>
  <si>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</si>
  <si>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</si>
  <si>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</si>
  <si>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</si>
  <si>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</si>
  <si>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</si>
  <si>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</si>
  <si>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</si>
  <si>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</si>
  <si>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</si>
  <si>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</si>
  <si>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</si>
  <si>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</si>
  <si>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</si>
  <si>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</si>
  <si>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</si>
  <si>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</si>
  <si>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</si>
  <si>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</si>
  <si>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</si>
  <si>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</si>
  <si>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</si>
  <si>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</si>
  <si>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</si>
  <si>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</si>
  <si>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</si>
  <si>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</si>
  <si>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</si>
  <si>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</si>
  <si>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</si>
  <si>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</si>
  <si>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</si>
  <si>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</si>
  <si>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</si>
  <si>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</si>
  <si>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</si>
  <si>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</si>
  <si>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</si>
  <si>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</si>
  <si>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</si>
  <si>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</si>
  <si>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</si>
  <si>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</si>
  <si>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</si>
  <si>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</si>
  <si>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</si>
  <si>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</si>
  <si>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</si>
  <si>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</si>
  <si>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</si>
  <si>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</si>
  <si>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</si>
  <si>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</si>
  <si>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</si>
  <si>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</si>
  <si>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</si>
  <si>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</si>
  <si>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</si>
  <si>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</si>
  <si>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</si>
  <si>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</si>
  <si>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</si>
  <si>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</si>
  <si>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</si>
  <si>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</si>
  <si>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</si>
  <si>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</si>
  <si>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</si>
  <si>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</si>
  <si>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</si>
  <si>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</si>
  <si>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</si>
  <si>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</si>
  <si>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</si>
  <si>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</si>
  <si>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</si>
  <si>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</si>
  <si>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</si>
  <si>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</si>
  <si>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</si>
  <si>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</si>
  <si>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</si>
  <si>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</si>
  <si>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</si>
  <si>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</si>
  <si>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</si>
  <si>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</si>
  <si>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</si>
  <si>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</si>
  <si>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</si>
  <si>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</si>
  <si>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</si>
  <si>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</si>
  <si>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</si>
  <si>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</si>
  <si>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</si>
  <si>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</si>
  <si>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</si>
  <si>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</si>
  <si>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</si>
  <si>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</si>
  <si>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</si>
  <si>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</si>
  <si>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</si>
  <si>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</si>
  <si>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</si>
  <si>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</si>
  <si>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</si>
  <si>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</si>
  <si>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</si>
  <si>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</si>
  <si>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</si>
  <si>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</si>
  <si>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</si>
  <si>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</si>
  <si>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</si>
  <si>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</si>
  <si>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</si>
  <si>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</si>
  <si>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</si>
  <si>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</si>
  <si>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</si>
  <si>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</si>
  <si>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</si>
  <si>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</si>
  <si>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</si>
  <si>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</si>
  <si>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</si>
  <si>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</si>
  <si>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</si>
  <si>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</si>
  <si>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</si>
  <si>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</si>
  <si>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</si>
  <si>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</si>
  <si>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</si>
  <si>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</si>
  <si>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</si>
  <si>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</si>
  <si>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</si>
  <si>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</si>
  <si>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</si>
  <si>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</si>
  <si>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</si>
  <si>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</si>
  <si>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</si>
  <si>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</si>
  <si>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</si>
  <si>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</si>
  <si>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</si>
  <si>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</si>
  <si>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</si>
  <si>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</si>
  <si>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</si>
  <si>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</si>
  <si>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</si>
  <si>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</si>
  <si>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</si>
  <si>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</si>
  <si>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</si>
  <si>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</si>
  <si>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</si>
  <si>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</si>
  <si>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</si>
  <si>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</si>
  <si>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</si>
  <si>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</si>
  <si>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</si>
  <si>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</si>
  <si>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</si>
  <si>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</si>
  <si>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</si>
  <si>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</si>
  <si>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</si>
  <si>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</si>
  <si>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</si>
  <si>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</si>
  <si>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</si>
  <si>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</si>
  <si>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</si>
  <si>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</si>
  <si>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</si>
  <si>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</si>
  <si>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</si>
  <si>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</si>
  <si>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</si>
  <si>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</si>
  <si>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</si>
  <si>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</si>
  <si>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</si>
  <si>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</si>
  <si>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</si>
  <si>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</si>
  <si>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</si>
  <si>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</si>
  <si>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</si>
  <si>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</si>
  <si>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</si>
  <si>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</si>
  <si>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</si>
  <si>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</si>
  <si>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</si>
  <si>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</si>
  <si>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</si>
  <si>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</si>
  <si>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</si>
  <si>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</si>
  <si>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</si>
  <si>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</si>
  <si>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</si>
  <si>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</si>
  <si>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</si>
  <si>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</si>
  <si>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</si>
  <si>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</si>
  <si>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</si>
  <si>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</si>
  <si>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</si>
  <si>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</si>
  <si>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</si>
  <si>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</si>
  <si>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</si>
  <si>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</si>
  <si>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</si>
  <si>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</si>
  <si>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</si>
  <si>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</si>
  <si>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</si>
  <si>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</si>
  <si>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</si>
  <si>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</si>
  <si>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</si>
  <si>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</si>
  <si>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</si>
  <si>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</si>
  <si>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</si>
  <si>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</si>
  <si>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</si>
  <si>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</si>
  <si>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</si>
  <si>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</si>
  <si>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</si>
  <si>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</si>
  <si>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</si>
  <si>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</si>
  <si>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</si>
  <si>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</si>
  <si>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</si>
  <si>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</si>
  <si>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</si>
  <si>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</si>
  <si>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</si>
  <si>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</si>
  <si>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</si>
  <si>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</si>
  <si>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</si>
  <si>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</si>
  <si>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</si>
  <si>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</si>
  <si>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</si>
  <si>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</si>
  <si>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</si>
  <si>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</si>
  <si>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</si>
  <si>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</si>
  <si>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</si>
  <si>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</si>
  <si>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</si>
  <si>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</si>
  <si>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</si>
  <si>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</si>
  <si>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</si>
  <si>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</si>
  <si>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</si>
  <si>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</si>
  <si>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</si>
  <si>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</si>
  <si>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</si>
  <si>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</si>
  <si>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</si>
  <si>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</si>
  <si>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</si>
  <si>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</si>
  <si>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</si>
  <si>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</si>
  <si>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</si>
  <si>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</si>
  <si>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</si>
  <si>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</si>
  <si>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</si>
  <si>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</si>
  <si>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</si>
  <si>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</si>
  <si>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</si>
  <si>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</si>
  <si>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</si>
  <si>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</si>
  <si>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</si>
  <si>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</si>
  <si>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</si>
  <si>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</si>
  <si>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</si>
  <si>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</si>
  <si>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</si>
  <si>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</si>
  <si>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</si>
  <si>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</si>
  <si>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</si>
  <si>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</si>
  <si>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</si>
  <si>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</si>
  <si>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</si>
  <si>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</si>
  <si>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</si>
  <si>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</si>
  <si>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</si>
  <si>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</si>
  <si>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</si>
  <si>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</si>
  <si>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</si>
  <si>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</si>
  <si>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</si>
  <si>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</si>
  <si>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</si>
  <si>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</si>
  <si>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</si>
  <si>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</si>
  <si>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</si>
  <si>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</si>
  <si>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</si>
  <si>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</si>
  <si>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</si>
  <si>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</si>
  <si>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</si>
  <si>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</si>
  <si>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</si>
  <si>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</si>
  <si>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</si>
  <si>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</si>
  <si>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</si>
  <si>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</si>
  <si>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</si>
  <si>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</si>
  <si>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</si>
  <si>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</si>
  <si>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</si>
  <si>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</si>
  <si>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</si>
  <si>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</si>
  <si>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</si>
  <si>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</si>
  <si>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</si>
  <si>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</si>
  <si>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</si>
  <si>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</si>
  <si>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</si>
  <si>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</si>
  <si>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</si>
  <si>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</si>
  <si>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</si>
  <si>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</si>
  <si>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</si>
  <si>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</si>
  <si>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</si>
  <si>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</si>
  <si>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</si>
  <si>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</si>
  <si>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</si>
  <si>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</si>
  <si>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</si>
  <si>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</si>
  <si>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</si>
  <si>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</si>
  <si>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</si>
  <si>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</si>
  <si>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</si>
  <si>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</si>
  <si>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</si>
  <si>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</si>
  <si>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</si>
  <si>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</si>
  <si>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</si>
  <si>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</si>
  <si>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</si>
  <si>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</si>
  <si>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</si>
  <si>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</si>
  <si>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</si>
  <si>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</si>
  <si>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</si>
  <si>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</si>
  <si>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</si>
  <si>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</si>
  <si>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</si>
  <si>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</si>
  <si>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</si>
  <si>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</si>
  <si>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</si>
  <si>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</si>
  <si>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</si>
  <si>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</si>
  <si>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</si>
  <si>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</si>
  <si>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</si>
  <si>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</si>
  <si>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</si>
  <si>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</si>
  <si>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</si>
  <si>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</si>
  <si>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</si>
  <si>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</si>
  <si>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</si>
  <si>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</si>
  <si>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</si>
  <si>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</si>
  <si>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</si>
  <si>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</si>
  <si>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</si>
  <si>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</si>
  <si>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</si>
  <si>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</si>
  <si>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</si>
  <si>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</si>
  <si>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</si>
  <si>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</si>
  <si>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</si>
  <si>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</si>
  <si>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</si>
  <si>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</si>
  <si>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</si>
  <si>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</si>
  <si>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</si>
  <si>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</si>
  <si>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</si>
  <si>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</si>
  <si>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</si>
  <si>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</si>
  <si>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</si>
  <si>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</si>
  <si>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</si>
  <si>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</si>
  <si>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</si>
  <si>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</si>
  <si>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</si>
  <si>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</si>
  <si>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</si>
  <si>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</si>
  <si>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</si>
  <si>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</si>
  <si>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</si>
  <si>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</si>
  <si>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</si>
  <si>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</si>
  <si>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</si>
  <si>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</si>
  <si>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</si>
  <si>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</si>
  <si>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</si>
  <si>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</si>
  <si>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</si>
  <si>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</si>
  <si>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</si>
  <si>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</si>
  <si>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</si>
  <si>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</si>
  <si>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</si>
  <si>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</si>
  <si>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</si>
  <si>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</si>
  <si>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</si>
  <si>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</si>
  <si>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</si>
  <si>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</si>
  <si>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</si>
  <si>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</si>
  <si>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</si>
  <si>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</si>
  <si>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</si>
  <si>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</si>
  <si>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</si>
  <si>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</si>
  <si>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</si>
  <si>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</si>
  <si>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</si>
  <si>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</si>
  <si>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</si>
  <si>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</si>
  <si>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</si>
  <si>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</si>
  <si>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</si>
  <si>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</si>
  <si>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</si>
  <si>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</si>
  <si>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</si>
  <si>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</si>
  <si>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</si>
  <si>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</si>
  <si>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</si>
  <si>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</si>
  <si>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</si>
  <si>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</si>
  <si>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</si>
  <si>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</si>
  <si>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</si>
  <si>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</si>
  <si>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</si>
  <si>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</si>
  <si>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</si>
  <si>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</si>
  <si>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</si>
  <si>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</si>
  <si>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</si>
  <si>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</si>
  <si>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</si>
  <si>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</si>
  <si>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</si>
  <si>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</si>
  <si>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</si>
  <si>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</si>
  <si>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</si>
  <si>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</si>
  <si>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</si>
  <si>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</si>
  <si>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</si>
  <si>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</si>
  <si>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</si>
  <si>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</si>
  <si>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</si>
  <si>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</si>
  <si>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</si>
  <si>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</si>
  <si>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</si>
  <si>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</si>
  <si>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</si>
  <si>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</si>
  <si>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</si>
  <si>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</si>
  <si>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</si>
  <si>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</si>
  <si>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</si>
  <si>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</si>
  <si>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</si>
  <si>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</si>
  <si>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</si>
  <si>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</si>
  <si>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</si>
  <si>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</si>
  <si>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</si>
  <si>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</si>
  <si>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</si>
  <si>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</si>
  <si>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</si>
  <si>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</si>
  <si>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</si>
  <si>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</si>
  <si>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</si>
  <si>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</si>
  <si>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</si>
  <si>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</si>
  <si>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</si>
  <si>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</si>
  <si>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</si>
  <si>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</si>
  <si>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</si>
  <si>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</si>
  <si>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</si>
  <si>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</si>
  <si>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</si>
  <si>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</si>
  <si>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</si>
  <si>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</si>
  <si>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</si>
  <si>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</si>
  <si>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</si>
  <si>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</si>
  <si>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</si>
  <si>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</si>
  <si>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</si>
  <si>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</si>
  <si>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</si>
  <si>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</si>
  <si>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</si>
  <si>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</si>
  <si>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</si>
  <si>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</si>
  <si>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</si>
  <si>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</si>
  <si>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</si>
  <si>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</si>
  <si>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</si>
  <si>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</si>
  <si>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</si>
  <si>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</si>
  <si>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</si>
  <si>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</si>
  <si>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</si>
  <si>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</si>
  <si>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</si>
  <si>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</si>
  <si>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</si>
  <si>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</si>
  <si>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</si>
  <si>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</si>
  <si>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</si>
  <si>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</si>
  <si>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</si>
  <si>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</si>
  <si>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</si>
  <si>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</si>
  <si>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</si>
  <si>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</si>
  <si>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</si>
  <si>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</si>
  <si>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</si>
  <si>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</si>
  <si>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</si>
  <si>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</si>
  <si>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</si>
  <si>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</si>
  <si>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</si>
  <si>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</si>
  <si>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</si>
  <si>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</si>
  <si>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</si>
  <si>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</si>
  <si>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</si>
  <si>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</si>
  <si>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</si>
  <si>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</si>
  <si>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</si>
  <si>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</si>
  <si>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</si>
  <si>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</si>
  <si>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</si>
  <si>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</si>
  <si>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</si>
  <si>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</si>
  <si>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</si>
  <si>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</si>
  <si>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</si>
  <si>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</si>
  <si>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</si>
  <si>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</si>
  <si>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</si>
  <si>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</si>
  <si>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</si>
  <si>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</si>
  <si>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</si>
  <si>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</si>
  <si>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</si>
  <si>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</si>
  <si>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</si>
  <si>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</si>
  <si>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</si>
  <si>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</si>
  <si>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</si>
  <si>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</si>
  <si>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</si>
  <si>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</si>
  <si>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</si>
  <si>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</si>
  <si>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</si>
  <si>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</si>
  <si>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</si>
  <si>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</si>
  <si>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</si>
  <si>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</si>
  <si>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</si>
  <si>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</si>
  <si>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</si>
  <si>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</si>
  <si>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</si>
  <si>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</si>
  <si>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</si>
  <si>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</si>
  <si>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</si>
  <si>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</si>
  <si>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</si>
  <si>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</si>
  <si>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</si>
  <si>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</si>
  <si>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</si>
  <si>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</si>
  <si>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</si>
  <si>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</si>
  <si>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</si>
  <si>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</si>
  <si>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</si>
  <si>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</si>
  <si>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</si>
  <si>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</si>
  <si>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</si>
  <si>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</si>
  <si>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</si>
  <si>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</si>
  <si>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</si>
  <si>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</si>
  <si>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</si>
  <si>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</si>
  <si>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</si>
  <si>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</si>
  <si>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</si>
  <si>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</si>
  <si>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</si>
  <si>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</si>
  <si>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</si>
  <si>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</si>
  <si>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</si>
  <si>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</si>
  <si>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</si>
  <si>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</si>
  <si>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</si>
  <si>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</si>
  <si>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</si>
  <si>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</si>
  <si>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</si>
  <si>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</si>
  <si>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</si>
  <si>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</si>
  <si>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</si>
  <si>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</si>
  <si>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</si>
  <si>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</si>
  <si>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</si>
  <si>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</si>
  <si>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</si>
  <si>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</si>
  <si>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</si>
  <si>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</si>
  <si>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</si>
  <si>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</si>
  <si>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</si>
  <si>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</si>
  <si>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</si>
  <si>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</si>
  <si>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</si>
  <si>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</si>
  <si>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</si>
  <si>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</si>
  <si>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</si>
  <si>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</si>
  <si>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</si>
  <si>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</si>
  <si>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</si>
  <si>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</si>
  <si>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</si>
  <si>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</si>
  <si>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</si>
  <si>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</si>
  <si>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</si>
  <si>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</si>
  <si>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</si>
  <si>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</si>
  <si>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</si>
  <si>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</si>
  <si>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</si>
  <si>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</si>
  <si>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</si>
  <si>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</si>
  <si>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</si>
  <si>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</si>
  <si>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</si>
  <si>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</si>
  <si>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</si>
  <si>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</si>
  <si>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</si>
  <si>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</si>
  <si>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</si>
  <si>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</si>
  <si>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</si>
  <si>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</si>
  <si>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</si>
  <si>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</si>
  <si>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</si>
  <si>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</si>
  <si>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</si>
  <si>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</si>
  <si>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</si>
  <si>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</si>
  <si>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</si>
  <si>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</si>
  <si>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</si>
  <si>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</si>
  <si>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</si>
  <si>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</si>
  <si>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</si>
  <si>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</si>
  <si>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</si>
  <si>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</si>
  <si>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</si>
  <si>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</si>
  <si>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</si>
  <si>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</si>
  <si>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</si>
  <si>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</si>
  <si>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</si>
  <si>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</si>
  <si>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</si>
  <si>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</si>
  <si>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</si>
  <si>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</si>
  <si>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</si>
  <si>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</si>
  <si>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</si>
  <si>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</si>
  <si>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</si>
  <si>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</si>
  <si>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</si>
  <si>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</si>
  <si>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</si>
  <si>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</si>
  <si>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</si>
  <si>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</si>
  <si>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</si>
  <si>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</si>
  <si>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</si>
  <si>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</si>
  <si>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</si>
  <si>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</si>
  <si>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</si>
  <si>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</si>
  <si>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</si>
  <si>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</si>
  <si>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</si>
  <si>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</si>
  <si>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</si>
  <si>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</si>
  <si>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</si>
  <si>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</si>
  <si>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</si>
  <si>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</si>
  <si>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</si>
  <si>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</si>
  <si>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</si>
  <si>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</si>
  <si>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</si>
  <si>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</si>
  <si>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</si>
  <si>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</si>
  <si>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</si>
  <si>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</si>
  <si>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</si>
  <si>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</si>
  <si>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</si>
  <si>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</si>
  <si>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</si>
  <si>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</si>
  <si>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</si>
  <si>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</si>
  <si>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</si>
  <si>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</si>
  <si>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</si>
  <si>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</si>
  <si>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</si>
  <si>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</si>
  <si>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</si>
  <si>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</si>
  <si>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</si>
  <si>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</si>
  <si>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</si>
  <si>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</si>
  <si>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</si>
  <si>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</si>
  <si>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</si>
  <si>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</si>
  <si>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</si>
  <si>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</si>
  <si>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</si>
  <si>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</si>
  <si>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</si>
  <si>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</si>
  <si>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</si>
  <si>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</si>
  <si>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</si>
  <si>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</si>
  <si>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</si>
  <si>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</si>
  <si>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</si>
  <si>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</si>
  <si>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</si>
  <si>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</si>
  <si>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</si>
  <si>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</si>
  <si>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</si>
  <si>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</si>
  <si>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</si>
  <si>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</si>
  <si>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</si>
  <si>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</si>
  <si>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</si>
  <si>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</si>
  <si>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</si>
  <si>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</si>
  <si>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</si>
  <si>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</si>
  <si>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</si>
  <si>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</si>
  <si>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</si>
  <si>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</si>
  <si>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</si>
  <si>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</si>
  <si>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</si>
  <si>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</si>
  <si>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</si>
  <si>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</si>
  <si>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</si>
  <si>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</si>
  <si>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</si>
  <si>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</si>
  <si>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</si>
  <si>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</si>
  <si>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</si>
  <si>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</si>
  <si>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</si>
  <si>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</si>
  <si>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</si>
  <si>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</si>
  <si>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</si>
  <si>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</si>
  <si>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</si>
  <si>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</si>
  <si>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</si>
  <si>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</si>
  <si>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</si>
  <si>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</si>
  <si>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</si>
  <si>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</si>
  <si>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</si>
  <si>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</si>
  <si>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</si>
  <si>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</si>
  <si>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</si>
  <si>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</si>
  <si>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</si>
  <si>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</si>
  <si>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</si>
  <si>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</si>
  <si>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</si>
  <si>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</si>
  <si>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</si>
  <si>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</si>
  <si>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</si>
  <si>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</si>
  <si>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</si>
  <si>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</si>
  <si>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</si>
  <si>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</si>
  <si>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</si>
  <si>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</si>
  <si>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</si>
  <si>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</si>
  <si>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</si>
  <si>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</si>
  <si>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</si>
  <si>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</si>
  <si>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</si>
  <si>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</si>
  <si>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</si>
  <si>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</si>
  <si>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</si>
  <si>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</si>
  <si>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</si>
  <si>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</si>
  <si>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</si>
  <si>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</si>
  <si>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</si>
  <si>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</si>
  <si>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</si>
  <si>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</si>
  <si>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</si>
  <si>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</si>
  <si>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</si>
  <si>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</si>
  <si>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</si>
  <si>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</si>
  <si>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</si>
  <si>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</si>
  <si>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</si>
  <si>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</si>
  <si>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</si>
  <si>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</si>
  <si>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</si>
  <si>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</si>
  <si>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</si>
  <si>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</si>
  <si>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</si>
  <si>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</si>
  <si>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</si>
  <si>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</si>
  <si>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</si>
  <si>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</si>
  <si>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</si>
  <si>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</si>
  <si>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</si>
  <si>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</si>
  <si>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</si>
  <si>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</si>
  <si>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</si>
  <si>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</si>
  <si>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</si>
  <si>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</si>
  <si>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</si>
  <si>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</si>
  <si>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</si>
  <si>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</si>
  <si>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</si>
  <si>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</si>
  <si>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</si>
  <si>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</si>
  <si>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</si>
  <si>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</si>
  <si>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</si>
  <si>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</si>
  <si>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</si>
  <si>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</si>
  <si>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</si>
  <si>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</si>
  <si>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</si>
  <si>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</si>
  <si>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</si>
  <si>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</si>
  <si>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</si>
  <si>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</si>
  <si>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</si>
  <si>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</si>
  <si>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</si>
  <si>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</si>
  <si>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</si>
  <si>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</si>
  <si>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</si>
  <si>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</si>
  <si>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</si>
  <si>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</si>
  <si>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</si>
  <si>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</si>
  <si>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</si>
  <si>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</si>
  <si>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</si>
  <si>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</si>
  <si>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</si>
  <si>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</si>
  <si>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</si>
  <si>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</si>
  <si>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</si>
  <si>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</si>
  <si>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</si>
  <si>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</si>
  <si>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</si>
  <si>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</si>
  <si>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</si>
  <si>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</si>
  <si>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</si>
  <si>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</si>
  <si>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</si>
  <si>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</si>
  <si>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</si>
  <si>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</si>
  <si>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</si>
  <si>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</si>
  <si>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</si>
  <si>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</si>
  <si>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</si>
  <si>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</si>
  <si>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</si>
  <si>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</si>
  <si>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</si>
  <si>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</si>
  <si>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</si>
  <si>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</si>
  <si>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</si>
  <si>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</si>
  <si>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</si>
  <si>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</si>
  <si>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</si>
  <si>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</si>
  <si>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</si>
  <si>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</si>
  <si>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</si>
  <si>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</si>
  <si>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</si>
  <si>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</si>
  <si>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</si>
  <si>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</si>
  <si>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</si>
  <si>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</si>
  <si>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</si>
  <si>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</si>
  <si>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</si>
  <si>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</si>
  <si>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</si>
  <si>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</si>
  <si>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</si>
  <si>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</si>
  <si>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</si>
  <si>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</si>
  <si>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</si>
  <si>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</si>
  <si>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</si>
  <si>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</si>
  <si>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</si>
  <si>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</si>
  <si>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</si>
  <si>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</si>
  <si>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</si>
  <si>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</si>
  <si>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</si>
  <si>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</si>
  <si>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</si>
  <si>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</si>
  <si>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</si>
  <si>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</si>
  <si>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</si>
  <si>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</si>
  <si>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</si>
  <si>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</si>
  <si>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</si>
  <si>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</si>
  <si>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</si>
  <si>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</si>
  <si>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</si>
  <si>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</si>
  <si>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</si>
  <si>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</si>
  <si>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</si>
  <si>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</si>
  <si>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</si>
  <si>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</si>
  <si>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</si>
  <si>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</si>
  <si>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</si>
  <si>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</si>
  <si>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</si>
  <si>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</si>
  <si>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</si>
  <si>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</si>
  <si>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</si>
  <si>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</si>
  <si>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</si>
  <si>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</si>
  <si>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</si>
  <si>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</si>
  <si>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</si>
  <si>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</si>
  <si>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</si>
  <si>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</si>
  <si>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</si>
  <si>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</si>
  <si>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</si>
  <si>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</si>
  <si>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</si>
  <si>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</si>
  <si>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</si>
  <si>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</si>
  <si>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</si>
  <si>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</si>
  <si>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</si>
  <si>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</si>
  <si>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</si>
  <si>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</si>
  <si>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</si>
  <si>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</si>
  <si>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</si>
  <si>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</si>
  <si>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</si>
  <si>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</si>
  <si>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</si>
  <si>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</si>
  <si>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</si>
  <si>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</si>
  <si>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</si>
  <si>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</si>
  <si>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</si>
  <si>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</si>
  <si>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</si>
  <si>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</si>
  <si>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</si>
  <si>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</si>
  <si>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</si>
  <si>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</si>
  <si>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</si>
  <si>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</si>
  <si>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</si>
  <si>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</si>
  <si>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</si>
  <si>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</si>
  <si>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</si>
  <si>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</si>
  <si>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</si>
  <si>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</si>
  <si>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</si>
  <si>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</si>
  <si>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</si>
  <si>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</si>
  <si>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</si>
  <si>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</si>
  <si>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</si>
  <si>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</si>
  <si>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</si>
  <si>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</si>
  <si>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</si>
  <si>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</si>
  <si>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</si>
  <si>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</si>
  <si>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</si>
  <si>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</si>
  <si>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</si>
  <si>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</si>
  <si>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</si>
  <si>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</si>
  <si>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</si>
  <si>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</si>
  <si>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</si>
  <si>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</si>
  <si>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</si>
  <si>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</si>
  <si>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</si>
  <si>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</si>
  <si>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</si>
  <si>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</si>
  <si>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</si>
  <si>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</si>
  <si>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</si>
  <si>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</si>
  <si>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</si>
  <si>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</si>
  <si>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</si>
  <si>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</si>
  <si>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</si>
  <si>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</si>
  <si>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</si>
  <si>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</si>
  <si>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</si>
  <si>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</si>
  <si>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</si>
  <si>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</si>
  <si>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</si>
  <si>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</si>
  <si>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</si>
  <si>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</si>
  <si>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</si>
  <si>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</si>
  <si>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</si>
  <si>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</si>
  <si>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</si>
  <si>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</si>
  <si>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</si>
  <si>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</si>
  <si>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</si>
  <si>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</si>
  <si>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</si>
  <si>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</si>
  <si>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</si>
  <si>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</si>
  <si>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</si>
  <si>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</si>
  <si>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</si>
  <si>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</si>
  <si>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</si>
  <si>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</si>
  <si>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</si>
  <si>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</si>
  <si>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</si>
  <si>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</si>
  <si>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</si>
  <si>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</si>
  <si>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</si>
  <si>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</si>
  <si>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</si>
  <si>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</si>
  <si>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</si>
  <si>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</si>
  <si>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</si>
  <si>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</si>
  <si>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</si>
  <si>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</si>
  <si>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</si>
  <si>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</si>
  <si>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</si>
  <si>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</si>
  <si>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</si>
  <si>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</si>
  <si>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</si>
  <si>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</si>
  <si>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</si>
  <si>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</si>
  <si>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</si>
  <si>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</si>
  <si>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</si>
  <si>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</si>
  <si>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</si>
  <si>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</si>
  <si>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</si>
  <si>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</si>
  <si>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</si>
  <si>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</si>
  <si>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</si>
  <si>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</si>
  <si>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</si>
  <si>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</si>
  <si>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</si>
  <si>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</si>
  <si>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</si>
  <si>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</si>
  <si>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</si>
  <si>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</si>
  <si>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</si>
  <si>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</si>
  <si>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</si>
  <si>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</si>
  <si>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</si>
  <si>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</si>
  <si>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</si>
  <si>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</si>
  <si>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</si>
  <si>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</si>
  <si>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</si>
  <si>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</si>
  <si>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</si>
  <si>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</si>
  <si>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</si>
  <si>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</si>
  <si>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</si>
  <si>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</si>
  <si>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</si>
  <si>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</si>
  <si>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</si>
  <si>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</si>
  <si>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</si>
  <si>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</si>
  <si>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</si>
  <si>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</si>
  <si>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</si>
  <si>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</si>
  <si>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</si>
  <si>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</si>
  <si>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</si>
  <si>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</si>
  <si>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</si>
  <si>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</si>
  <si>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</si>
  <si>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</si>
  <si>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</si>
  <si>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</si>
  <si>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</si>
  <si>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</si>
  <si>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</si>
  <si>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</si>
  <si>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</si>
  <si>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</si>
  <si>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</si>
  <si>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</si>
  <si>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</si>
  <si>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</si>
  <si>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</si>
  <si>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</si>
  <si>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</si>
  <si>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</si>
  <si>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</si>
  <si>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</si>
  <si>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</si>
  <si>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</si>
  <si>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</si>
  <si>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</si>
  <si>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</si>
  <si>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</si>
  <si>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</si>
  <si>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</si>
  <si>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</si>
  <si>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</si>
  <si>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</si>
  <si>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</si>
  <si>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</si>
  <si>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</si>
  <si>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</si>
  <si>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</si>
  <si>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</si>
  <si>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</si>
  <si>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</si>
  <si>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</si>
  <si>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</si>
  <si>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</si>
  <si>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</si>
  <si>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</si>
  <si>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</si>
  <si>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</si>
  <si>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</si>
  <si>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</si>
  <si>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</si>
  <si>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</si>
  <si>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</si>
  <si>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</si>
  <si>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</si>
  <si>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</si>
  <si>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</si>
  <si>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</si>
  <si>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</si>
  <si>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</si>
  <si>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</si>
  <si>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</si>
  <si>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</si>
  <si>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</si>
  <si>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</si>
  <si>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</si>
  <si>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</si>
  <si>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</si>
  <si>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</si>
  <si>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</si>
  <si>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</si>
  <si>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</si>
  <si>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</si>
  <si>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</si>
  <si>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</si>
  <si>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</si>
  <si>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</si>
  <si>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</si>
  <si>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</si>
  <si>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</si>
  <si>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</si>
  <si>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</si>
  <si>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</si>
  <si>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</si>
  <si>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</si>
  <si>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</si>
  <si>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</si>
  <si>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</si>
  <si>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</si>
  <si>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</si>
  <si>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</si>
  <si>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</si>
  <si>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</si>
  <si>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</si>
  <si>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</si>
  <si>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</si>
  <si>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</si>
  <si>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</si>
  <si>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</si>
  <si>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</si>
  <si>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</si>
  <si>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</si>
  <si>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</si>
  <si>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</si>
  <si>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</si>
  <si>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</si>
  <si>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</si>
  <si>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</si>
  <si>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</si>
  <si>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</si>
  <si>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</si>
  <si>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</si>
  <si>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</si>
  <si>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</si>
  <si>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</si>
  <si>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</si>
  <si>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</si>
  <si>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</si>
  <si>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</si>
  <si>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</si>
  <si>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</si>
  <si>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</si>
  <si>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</si>
  <si>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</si>
  <si>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</si>
  <si>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</si>
  <si>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</si>
  <si>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</si>
  <si>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</si>
  <si>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</si>
  <si>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</si>
  <si>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</si>
  <si>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</si>
  <si>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</si>
  <si>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</si>
  <si>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</si>
  <si>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</si>
  <si>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</si>
  <si>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</si>
  <si>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</si>
  <si>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</si>
  <si>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</si>
  <si>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</si>
  <si>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</si>
  <si>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</si>
  <si>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</si>
  <si>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</si>
  <si>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</si>
  <si>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</si>
  <si>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</si>
  <si>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</si>
  <si>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</si>
  <si>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</si>
  <si>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</si>
  <si>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</si>
  <si>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</si>
  <si>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</si>
  <si>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</si>
  <si>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</si>
  <si>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</si>
  <si>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</si>
  <si>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</si>
  <si>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</si>
  <si>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</si>
  <si>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</si>
  <si>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</si>
  <si>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</si>
  <si>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</si>
  <si>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</si>
  <si>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</si>
  <si>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</si>
  <si>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</si>
  <si>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</si>
  <si>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</si>
  <si>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</si>
  <si>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</si>
  <si>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</si>
  <si>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</si>
  <si>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</si>
  <si>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</si>
  <si>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</si>
  <si>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</si>
  <si>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</si>
  <si>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</si>
  <si>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</si>
  <si>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</si>
  <si>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</si>
  <si>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</si>
  <si>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</si>
  <si>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</si>
  <si>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</si>
  <si>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</si>
  <si>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</si>
  <si>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</si>
  <si>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</si>
  <si>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</si>
  <si>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</si>
  <si>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</si>
  <si>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</si>
  <si>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</si>
  <si>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</si>
  <si>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</si>
  <si>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</si>
  <si>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</si>
  <si>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</si>
  <si>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</si>
  <si>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</si>
  <si>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</si>
  <si>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</si>
  <si>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</si>
  <si>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</si>
  <si>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</si>
  <si>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</si>
  <si>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</si>
  <si>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</si>
  <si>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</si>
  <si>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</si>
  <si>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</si>
  <si>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</si>
  <si>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</si>
  <si>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</si>
  <si>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</si>
  <si>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</si>
  <si>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</si>
  <si>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</si>
  <si>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</si>
  <si>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</si>
  <si>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</si>
  <si>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</si>
  <si>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</si>
  <si>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</si>
  <si>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</si>
  <si>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</si>
  <si>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</si>
  <si>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</si>
  <si>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</si>
  <si>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</si>
  <si>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</si>
  <si>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</si>
  <si>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</si>
  <si>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</si>
  <si>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</si>
  <si>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</si>
  <si>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</si>
  <si>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</si>
  <si>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</si>
  <si>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</si>
  <si>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</si>
  <si>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</si>
  <si>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</si>
  <si>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</si>
  <si>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</si>
  <si>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</si>
  <si>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</si>
  <si>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</si>
  <si>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</si>
  <si>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</si>
  <si>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</si>
  <si>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</si>
  <si>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</si>
  <si>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</si>
  <si>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</si>
  <si>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</si>
  <si>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</si>
  <si>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</si>
  <si>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</si>
  <si>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</si>
  <si>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</si>
  <si>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</si>
  <si>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</si>
  <si>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</si>
  <si>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</si>
  <si>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</si>
  <si>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</si>
  <si>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</si>
  <si>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</si>
  <si>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</si>
  <si>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</si>
  <si>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</si>
  <si>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</si>
  <si>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</si>
  <si>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</si>
  <si>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</si>
  <si>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</si>
  <si>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</si>
  <si>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</si>
  <si>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</si>
  <si>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</si>
  <si>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</si>
  <si>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</si>
  <si>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</si>
  <si>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</si>
  <si>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</si>
  <si>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</si>
  <si>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</si>
  <si>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</si>
  <si>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</si>
  <si>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</si>
  <si>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</si>
  <si>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</si>
  <si>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</si>
  <si>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</si>
  <si>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</si>
  <si>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</si>
  <si>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</si>
  <si>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</si>
  <si>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</si>
  <si>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</si>
  <si>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</si>
  <si>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</si>
  <si>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</si>
  <si>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</si>
  <si>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</si>
  <si>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</si>
  <si>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</si>
  <si>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</si>
  <si>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</si>
  <si>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</si>
  <si>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</si>
  <si>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</si>
  <si>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</si>
  <si>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</si>
  <si>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</si>
  <si>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</si>
  <si>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</si>
  <si>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</si>
  <si>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</si>
  <si>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</si>
  <si>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</si>
  <si>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</si>
  <si>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</si>
  <si>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</si>
  <si>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</si>
  <si>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</si>
  <si>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</si>
  <si>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</si>
  <si>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</si>
  <si>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</si>
  <si>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</si>
  <si>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</si>
  <si>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</si>
  <si>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</si>
  <si>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</si>
  <si>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</si>
  <si>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</si>
  <si>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</si>
  <si>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</si>
  <si>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</si>
  <si>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</si>
  <si>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</si>
  <si>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</si>
  <si>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</si>
  <si>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</si>
  <si>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</si>
  <si>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</si>
  <si>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</si>
  <si>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</si>
  <si>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</si>
  <si>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</si>
  <si>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</si>
  <si>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</si>
  <si>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</si>
  <si>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</si>
  <si>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</si>
  <si>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</si>
  <si>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</si>
  <si>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</si>
  <si>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</si>
  <si>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</si>
  <si>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</si>
  <si>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</si>
  <si>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</si>
  <si>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</si>
  <si>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</si>
  <si>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</si>
  <si>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</si>
  <si>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</si>
  <si>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</si>
  <si>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</si>
  <si>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</si>
  <si>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</si>
  <si>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</si>
  <si>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</si>
  <si>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</si>
  <si>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</si>
  <si>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</si>
  <si>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</si>
  <si>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</si>
  <si>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</si>
  <si>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</si>
  <si>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</si>
  <si>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</si>
  <si>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</si>
  <si>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</si>
  <si>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</si>
  <si>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</si>
  <si>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</si>
  <si>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</si>
  <si>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</si>
  <si>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</si>
  <si>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</si>
  <si>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</si>
  <si>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</si>
  <si>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</si>
  <si>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</si>
  <si>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</si>
  <si>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</si>
  <si>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</si>
  <si>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</si>
  <si>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</si>
  <si>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</si>
  <si>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</si>
  <si>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</si>
  <si>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</si>
  <si>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</si>
  <si>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</si>
  <si>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</si>
  <si>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</si>
  <si>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</si>
  <si>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</si>
  <si>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</si>
  <si>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</si>
  <si>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</si>
  <si>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</si>
  <si>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</si>
  <si>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</si>
  <si>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</si>
  <si>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</si>
  <si>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</si>
  <si>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</si>
  <si>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</si>
  <si>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</si>
  <si>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</si>
  <si>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</si>
  <si>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</si>
  <si>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</si>
  <si>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</si>
  <si>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</si>
  <si>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</si>
  <si>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</si>
  <si>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</si>
  <si>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</si>
  <si>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</si>
  <si>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</si>
  <si>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</si>
  <si>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</si>
  <si>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</si>
  <si>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</si>
  <si>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</si>
  <si>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</si>
  <si>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</si>
  <si>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</si>
  <si>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</si>
  <si>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</si>
  <si>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</si>
  <si>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</si>
  <si>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</si>
  <si>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</si>
  <si>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</si>
  <si>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</si>
  <si>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</si>
  <si>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</si>
  <si>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</si>
  <si>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</si>
  <si>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</si>
  <si>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</si>
  <si>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</si>
  <si>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</si>
  <si>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</si>
  <si>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</si>
  <si>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</si>
  <si>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</si>
  <si>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</si>
  <si>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</si>
  <si>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</si>
  <si>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</si>
  <si>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</si>
  <si>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</si>
  <si>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</si>
  <si>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</si>
  <si>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</si>
  <si>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</si>
  <si>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</si>
  <si>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</si>
  <si>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</si>
  <si>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</si>
  <si>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</si>
  <si>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</si>
  <si>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</si>
  <si>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</si>
  <si>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</si>
  <si>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</si>
  <si>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</si>
  <si>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</si>
  <si>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</si>
  <si>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</si>
  <si>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</si>
  <si>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</si>
  <si>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</si>
  <si>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</si>
  <si>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</si>
  <si>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</si>
  <si>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</si>
  <si>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</si>
  <si>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</si>
  <si>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</si>
  <si>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</si>
  <si>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</si>
  <si>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</si>
  <si>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</si>
  <si>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</si>
  <si>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</si>
  <si>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</si>
  <si>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</si>
  <si>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</si>
  <si>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</si>
  <si>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</si>
  <si>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</si>
  <si>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</si>
  <si>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</si>
  <si>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</si>
  <si>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</si>
  <si>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</si>
  <si>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</si>
  <si>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</si>
  <si>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</si>
  <si>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</si>
  <si>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</si>
  <si>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</si>
  <si>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</si>
  <si>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</si>
  <si>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</si>
  <si>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</si>
  <si>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</si>
  <si>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</si>
  <si>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</si>
  <si>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</si>
  <si>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</si>
  <si>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</si>
  <si>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</si>
  <si>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</si>
  <si>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</si>
  <si>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</si>
  <si>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</si>
  <si>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</si>
  <si>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</si>
  <si>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</si>
  <si>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</si>
  <si>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</si>
  <si>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</si>
  <si>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</si>
  <si>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</si>
  <si>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</si>
  <si>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</si>
  <si>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</si>
  <si>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</si>
  <si>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</si>
  <si>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</si>
  <si>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</si>
  <si>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</si>
  <si>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</si>
  <si>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</si>
  <si>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</si>
  <si>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</si>
  <si>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</si>
  <si>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</si>
  <si>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</si>
  <si>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</si>
  <si>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</si>
  <si>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</si>
  <si>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</si>
  <si>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</si>
  <si>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</si>
  <si>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</si>
  <si>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</si>
  <si>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</si>
  <si>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</si>
  <si>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</si>
  <si>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</si>
  <si>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</si>
  <si>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</si>
  <si>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</si>
  <si>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</si>
  <si>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</si>
  <si>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</si>
  <si>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</si>
  <si>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</si>
  <si>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</si>
  <si>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</si>
  <si>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</si>
  <si>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</si>
  <si>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</si>
  <si>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</si>
  <si>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</si>
  <si>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</si>
  <si>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</si>
  <si>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</si>
  <si>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</si>
  <si>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</si>
  <si>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</si>
  <si>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</si>
  <si>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</si>
  <si>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</si>
  <si>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</si>
  <si>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</si>
  <si>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</si>
  <si>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</si>
  <si>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</si>
  <si>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</si>
  <si>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</si>
  <si>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</si>
  <si>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</si>
  <si>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</si>
  <si>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</si>
  <si>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</si>
  <si>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</si>
  <si>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</si>
  <si>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</si>
  <si>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</si>
  <si>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</si>
  <si>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</si>
  <si>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</si>
  <si>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</si>
  <si>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</si>
  <si>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</si>
  <si>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</si>
  <si>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</si>
  <si>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</si>
  <si>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</si>
  <si>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</si>
  <si>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</si>
  <si>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</si>
  <si>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</si>
  <si>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</si>
  <si>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</si>
  <si>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</si>
  <si>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</si>
  <si>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</si>
  <si>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</si>
  <si>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</si>
  <si>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</si>
  <si>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</si>
  <si>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</si>
  <si>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</si>
  <si>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</si>
  <si>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</si>
  <si>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</si>
  <si>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</si>
  <si>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</si>
  <si>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</si>
  <si>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</si>
  <si>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</si>
  <si>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</si>
  <si>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</si>
  <si>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</si>
  <si>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</si>
  <si>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</si>
  <si>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</si>
  <si>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</si>
  <si>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</si>
  <si>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</si>
  <si>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</si>
  <si>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</si>
  <si>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</si>
  <si>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</si>
  <si>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</si>
  <si>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</si>
  <si>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</si>
  <si>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</si>
  <si>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</si>
  <si>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</si>
  <si>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</si>
  <si>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</si>
  <si>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</si>
  <si>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</si>
  <si>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</si>
  <si>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</si>
  <si>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</si>
  <si>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</si>
  <si>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</si>
  <si>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</si>
  <si>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</si>
  <si>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</si>
  <si>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</si>
  <si>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</si>
  <si>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</si>
  <si>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</si>
  <si>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</si>
  <si>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</si>
  <si>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</si>
  <si>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</si>
  <si>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</si>
  <si>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</si>
  <si>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</si>
  <si>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</si>
  <si>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</si>
  <si>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</si>
  <si>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</si>
  <si>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</si>
  <si>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</si>
  <si>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</si>
  <si>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</si>
  <si>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</si>
  <si>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</si>
  <si>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</si>
  <si>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</si>
  <si>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</si>
  <si>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</si>
  <si>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</si>
  <si>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</si>
  <si>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</si>
  <si>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</si>
  <si>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</si>
  <si>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</si>
  <si>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</si>
  <si>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</si>
  <si>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</si>
  <si>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</si>
  <si>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</si>
  <si>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</si>
  <si>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</si>
  <si>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</si>
  <si>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</si>
  <si>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</si>
  <si>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</si>
  <si>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</si>
  <si>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</si>
  <si>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</si>
  <si>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</si>
  <si>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</si>
  <si>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</si>
  <si>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</si>
  <si>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</si>
  <si>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</si>
  <si>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</si>
  <si>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</si>
  <si>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</si>
  <si>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</si>
  <si>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</si>
  <si>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</si>
  <si>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</si>
  <si>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</si>
  <si>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</si>
  <si>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</si>
  <si>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</si>
  <si>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</si>
  <si>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</si>
  <si>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</si>
  <si>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</si>
  <si>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</si>
  <si>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</si>
  <si>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</si>
  <si>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</si>
  <si>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</si>
  <si>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</si>
  <si>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</si>
  <si>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</si>
  <si>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</si>
  <si>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</si>
  <si>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</si>
  <si>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</si>
  <si>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</si>
  <si>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</si>
  <si>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</si>
  <si>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</si>
  <si>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</si>
  <si>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</si>
  <si>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</si>
  <si>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</si>
  <si>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</si>
  <si>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</si>
  <si>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</si>
  <si>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</si>
  <si>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</si>
  <si>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</si>
  <si>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</si>
  <si>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</si>
  <si>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</si>
  <si>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</si>
  <si>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</si>
  <si>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</si>
  <si>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</si>
  <si>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</si>
  <si>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</si>
  <si>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</si>
  <si>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</si>
  <si>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</si>
  <si>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</si>
  <si>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</si>
  <si>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</si>
  <si>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</si>
  <si>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</si>
  <si>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</si>
  <si>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</si>
  <si>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</si>
  <si>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</si>
  <si>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</si>
  <si>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</si>
  <si>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</si>
  <si>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</si>
  <si>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</si>
  <si>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</si>
  <si>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</si>
  <si>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</si>
  <si>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</si>
  <si>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</si>
  <si>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</si>
  <si>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</si>
  <si>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</si>
  <si>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</si>
  <si>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</si>
  <si>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</si>
  <si>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</si>
  <si>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</si>
  <si>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</si>
  <si>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</si>
  <si>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</si>
  <si>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</si>
  <si>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</si>
  <si>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</si>
  <si>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</si>
  <si>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</si>
  <si>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</si>
  <si>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</si>
  <si>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</si>
  <si>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</si>
  <si>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</si>
  <si>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</si>
  <si>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</si>
  <si>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</si>
  <si>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</si>
  <si>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</si>
  <si>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</si>
  <si>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</si>
  <si>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</si>
  <si>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</si>
  <si>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</si>
  <si>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</si>
  <si>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</si>
  <si>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</si>
  <si>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</si>
  <si>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</si>
  <si>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</si>
  <si>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</si>
  <si>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</si>
  <si>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</si>
  <si>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</si>
  <si>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</si>
  <si>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</si>
  <si>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</si>
  <si>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</si>
  <si>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</si>
  <si>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</si>
  <si>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</si>
  <si>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</si>
  <si>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</si>
  <si>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</si>
  <si>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</si>
  <si>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</si>
  <si>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</si>
  <si>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</si>
  <si>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</si>
  <si>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</si>
  <si>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</si>
  <si>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</si>
  <si>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</si>
  <si>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</si>
  <si>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</si>
  <si>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</si>
  <si>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</si>
  <si>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</si>
  <si>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</si>
  <si>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</si>
  <si>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</si>
  <si>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</si>
  <si>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</si>
  <si>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</si>
  <si>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</si>
  <si>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</si>
  <si>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</si>
  <si>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</si>
  <si>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</si>
  <si>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</si>
  <si>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</si>
  <si>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</si>
  <si>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</si>
  <si>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</si>
  <si>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</si>
  <si>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</si>
  <si>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</si>
  <si>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</si>
  <si>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</si>
  <si>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</si>
  <si>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</si>
  <si>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</si>
  <si>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</si>
  <si>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</si>
  <si>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</si>
  <si>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</si>
  <si>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</si>
  <si>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</si>
  <si>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</si>
  <si>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</si>
  <si>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</si>
  <si>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</si>
  <si>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</si>
  <si>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</si>
  <si>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</si>
  <si>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</si>
  <si>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</si>
  <si>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</si>
  <si>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</si>
  <si>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</si>
  <si>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</si>
  <si>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</si>
  <si>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</si>
  <si>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</si>
  <si>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</si>
  <si>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</si>
  <si>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</si>
  <si>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</si>
  <si>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</si>
  <si>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</si>
  <si>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</si>
  <si>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</si>
  <si>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</si>
  <si>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</si>
  <si>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</si>
  <si>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</si>
  <si>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</si>
  <si>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</si>
  <si>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</si>
  <si>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</si>
  <si>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</si>
  <si>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</si>
  <si>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</si>
  <si>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</si>
  <si>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</si>
  <si>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</si>
  <si>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</si>
  <si>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</si>
  <si>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</si>
  <si>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</si>
  <si>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</si>
  <si>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</si>
  <si>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</si>
  <si>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</si>
  <si>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</si>
  <si>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</si>
  <si>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</si>
  <si>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</si>
  <si>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</si>
  <si>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</si>
  <si>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</si>
  <si>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</si>
  <si>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</si>
  <si>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</si>
  <si>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</si>
  <si>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</si>
  <si>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</si>
  <si>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</si>
  <si>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</si>
  <si>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</si>
  <si>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</si>
  <si>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</si>
  <si>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</si>
  <si>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</si>
  <si>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</si>
  <si>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</si>
  <si>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</si>
  <si>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</si>
  <si>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</si>
  <si>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</si>
  <si>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</si>
  <si>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</si>
  <si>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</si>
  <si>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</si>
  <si>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</si>
  <si>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</si>
  <si>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</si>
  <si>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</si>
  <si>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</si>
  <si>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</si>
  <si>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</si>
  <si>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</si>
  <si>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</si>
  <si>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</si>
  <si>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</si>
  <si>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</si>
  <si>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</si>
  <si>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</si>
  <si>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</si>
  <si>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</si>
  <si>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</si>
  <si>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</si>
  <si>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</si>
  <si>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</si>
  <si>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</si>
  <si>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</si>
  <si>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</si>
  <si>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</si>
  <si>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</si>
  <si>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</si>
  <si>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</si>
  <si>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</si>
  <si>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</si>
  <si>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</si>
  <si>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</si>
  <si>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</si>
  <si>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</si>
  <si>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</si>
  <si>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</si>
  <si>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</si>
  <si>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</si>
  <si>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</si>
  <si>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</si>
  <si>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</si>
  <si>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</si>
  <si>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</si>
  <si>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</si>
  <si>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</si>
  <si>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</si>
  <si>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</si>
  <si>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</si>
  <si>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</si>
  <si>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</si>
  <si>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</si>
  <si>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</si>
  <si>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</si>
  <si>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</si>
  <si>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</si>
  <si>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</si>
  <si>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</si>
  <si>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</si>
  <si>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</si>
  <si>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</si>
  <si>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</si>
  <si>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</si>
  <si>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</si>
  <si>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</si>
  <si>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</si>
  <si>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</si>
  <si>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</si>
  <si>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</si>
  <si>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</si>
  <si>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</si>
  <si>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</si>
  <si>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</si>
  <si>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</si>
  <si>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</si>
  <si>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</si>
  <si>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</si>
  <si>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</si>
  <si>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</si>
  <si>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</si>
  <si>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</si>
  <si>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</si>
  <si>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</si>
  <si>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</si>
  <si>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</si>
  <si>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</si>
  <si>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</si>
  <si>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</si>
  <si>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</si>
  <si>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</si>
  <si>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</si>
  <si>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</si>
  <si>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</si>
  <si>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</si>
  <si>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</si>
  <si>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</si>
  <si>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</si>
  <si>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</si>
  <si>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</si>
  <si>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</si>
  <si>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</si>
  <si>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</si>
  <si>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</si>
  <si>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</si>
  <si>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</si>
  <si>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</si>
  <si>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</si>
  <si>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</si>
  <si>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</si>
  <si>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</si>
  <si>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</si>
  <si>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</si>
  <si>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</si>
  <si>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</si>
  <si>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</si>
  <si>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</si>
  <si>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</si>
  <si>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</si>
  <si>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</si>
  <si>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</si>
  <si>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</si>
  <si>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</si>
  <si>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</si>
  <si>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</si>
  <si>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</si>
  <si>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</si>
  <si>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</si>
  <si>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</si>
  <si>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</si>
  <si>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</si>
  <si>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</si>
  <si>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</si>
  <si>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</si>
  <si>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</si>
  <si>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</si>
  <si>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</si>
  <si>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</si>
  <si>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</si>
  <si>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</si>
  <si>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</si>
  <si>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</si>
  <si>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</si>
  <si>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</si>
  <si>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</si>
  <si>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</si>
  <si>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</si>
  <si>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</si>
  <si>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</si>
  <si>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</si>
  <si>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</si>
  <si>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</si>
  <si>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</si>
  <si>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</si>
  <si>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</si>
  <si>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</si>
  <si>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</si>
  <si>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</si>
  <si>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</si>
  <si>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</si>
  <si>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</si>
  <si>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</si>
  <si>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</si>
  <si>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</si>
  <si>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</si>
  <si>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</si>
  <si>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</si>
  <si>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</si>
  <si>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</si>
  <si>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</si>
  <si>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</si>
  <si>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</si>
  <si>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</si>
  <si>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</si>
  <si>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</si>
  <si>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</si>
  <si>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</si>
  <si>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</si>
  <si>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</si>
  <si>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</si>
  <si>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</si>
  <si>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</si>
  <si>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</si>
  <si>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</si>
  <si>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</si>
  <si>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</si>
  <si>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</si>
  <si>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</si>
  <si>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</si>
  <si>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</si>
  <si>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</si>
  <si>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</si>
  <si>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</si>
  <si>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</si>
  <si>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</si>
  <si>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</si>
  <si>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</si>
  <si>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</si>
  <si>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</si>
  <si>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</si>
  <si>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</si>
  <si>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</si>
  <si>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</si>
  <si>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</si>
  <si>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</si>
  <si>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</si>
  <si>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</si>
  <si>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</si>
  <si>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</si>
  <si>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</si>
  <si>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</si>
  <si>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</si>
  <si>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</si>
  <si>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</si>
  <si>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</si>
  <si>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</si>
  <si>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</si>
  <si>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</si>
  <si>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</si>
  <si>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</si>
  <si>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</si>
  <si>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</si>
  <si>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</si>
  <si>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</si>
  <si>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</si>
  <si>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</si>
  <si>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</si>
  <si>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</si>
  <si>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</si>
  <si>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</si>
  <si>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</si>
  <si>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</si>
  <si>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</si>
  <si>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</si>
  <si>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</si>
  <si>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</si>
  <si>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</si>
  <si>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</si>
  <si>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</si>
  <si>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</si>
  <si>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</si>
  <si>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</si>
  <si>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</si>
  <si>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</si>
  <si>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</si>
  <si>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</si>
  <si>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</si>
  <si>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</si>
  <si>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</si>
  <si>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</si>
  <si>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</si>
  <si>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</si>
  <si>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</si>
  <si>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</si>
  <si>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</si>
  <si>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</si>
  <si>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</si>
  <si>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</si>
  <si>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</si>
  <si>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</si>
  <si>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</si>
  <si>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</si>
  <si>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</si>
  <si>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</si>
  <si>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</si>
  <si>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</si>
  <si>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</si>
  <si>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</si>
  <si>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</si>
  <si>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</si>
  <si>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</si>
  <si>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</si>
  <si>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</si>
  <si>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</si>
  <si>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</si>
  <si>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</si>
  <si>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</si>
  <si>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</si>
  <si>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</si>
  <si>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</si>
  <si>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</si>
  <si>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</si>
  <si>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</si>
  <si>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</si>
  <si>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</si>
  <si>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</si>
  <si>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</si>
  <si>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</si>
  <si>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</si>
  <si>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</si>
  <si>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</si>
  <si>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</si>
  <si>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</si>
  <si>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</si>
  <si>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</si>
  <si>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</si>
  <si>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</si>
  <si>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</si>
  <si>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</si>
  <si>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</si>
  <si>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</si>
  <si>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</si>
  <si>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</si>
  <si>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</si>
  <si>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</si>
  <si>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</si>
  <si>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</si>
  <si>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</si>
  <si>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</si>
  <si>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</si>
  <si>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</si>
  <si>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</si>
  <si>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</si>
  <si>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</si>
  <si>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</si>
  <si>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</si>
  <si>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</si>
  <si>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</si>
  <si>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</si>
  <si>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</si>
  <si>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</si>
  <si>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</si>
  <si>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</si>
  <si>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</si>
  <si>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</si>
  <si>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</si>
  <si>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</si>
  <si>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</si>
  <si>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</si>
  <si>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</si>
  <si>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</si>
  <si>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</si>
  <si>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</si>
  <si>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</si>
  <si>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</si>
  <si>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</si>
  <si>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</si>
  <si>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</si>
  <si>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</si>
  <si>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</si>
  <si>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</si>
  <si>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</si>
  <si>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</si>
  <si>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</si>
  <si>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</si>
  <si>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</si>
  <si>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</si>
  <si>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</si>
  <si>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</si>
  <si>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</si>
  <si>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</si>
  <si>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</si>
  <si>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</si>
  <si>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</si>
  <si>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</si>
  <si>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</si>
  <si>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</si>
  <si>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</si>
  <si>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</si>
  <si>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</si>
  <si>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</si>
  <si>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</si>
  <si>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</si>
  <si>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</si>
  <si>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</si>
  <si>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</si>
  <si>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</si>
  <si>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</si>
  <si>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</si>
  <si>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</si>
  <si>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</si>
  <si>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</si>
  <si>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</si>
  <si>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</si>
  <si>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</si>
  <si>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</si>
  <si>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</si>
  <si>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</si>
  <si>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</si>
  <si>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</si>
  <si>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</si>
  <si>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</si>
  <si>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</si>
  <si>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</si>
  <si>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</si>
  <si>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</si>
  <si>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</si>
  <si>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</si>
  <si>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</si>
  <si>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</si>
  <si>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</si>
  <si>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</si>
  <si>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</si>
  <si>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</si>
  <si>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</si>
  <si>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</si>
  <si>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</si>
  <si>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</si>
  <si>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</si>
  <si>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</si>
  <si>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</si>
  <si>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</si>
  <si>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</si>
  <si>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</si>
  <si>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</si>
  <si>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</si>
  <si>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</si>
  <si>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</si>
  <si>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</si>
  <si>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</si>
  <si>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</si>
  <si>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</si>
  <si>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</si>
  <si>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</si>
  <si>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</si>
  <si>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</si>
  <si>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</si>
  <si>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</si>
  <si>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</si>
  <si>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</si>
  <si>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</si>
  <si>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</si>
  <si>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</si>
  <si>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</si>
  <si>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</si>
  <si>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</si>
  <si>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</si>
  <si>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</si>
  <si>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</si>
  <si>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</si>
  <si>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</si>
  <si>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</si>
  <si>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</si>
  <si>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</si>
  <si>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</si>
  <si>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</si>
  <si>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</si>
  <si>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</si>
  <si>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</si>
  <si>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</si>
  <si>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</si>
  <si>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</si>
  <si>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</si>
  <si>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</si>
  <si>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</si>
  <si>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</si>
  <si>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</si>
  <si>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</si>
  <si>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</si>
  <si>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</si>
  <si>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</si>
  <si>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</si>
  <si>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</si>
  <si>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</si>
  <si>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</si>
  <si>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</si>
  <si>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</si>
  <si>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</si>
  <si>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</si>
  <si>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</si>
  <si>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</si>
  <si>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</si>
  <si>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</si>
  <si>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</si>
  <si>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</si>
  <si>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</si>
  <si>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</si>
  <si>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</si>
  <si>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</si>
  <si>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</si>
  <si>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</si>
  <si>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</si>
  <si>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</si>
  <si>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</si>
  <si>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</si>
  <si>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</si>
  <si>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</si>
  <si>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</si>
  <si>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</si>
  <si>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</si>
  <si>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</si>
  <si>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</si>
  <si>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</si>
  <si>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</si>
  <si>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</si>
  <si>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</si>
  <si>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</si>
  <si>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</si>
  <si>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</si>
  <si>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</si>
  <si>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</si>
  <si>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</si>
  <si>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</si>
  <si>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</si>
  <si>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</si>
  <si>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</si>
  <si>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</si>
  <si>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</si>
  <si>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</si>
  <si>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</si>
  <si>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</si>
  <si>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</si>
  <si>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</si>
  <si>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</si>
  <si>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</si>
  <si>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</si>
  <si>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</si>
  <si>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</si>
  <si>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</si>
  <si>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</si>
  <si>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</si>
  <si>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</si>
  <si>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</si>
  <si>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</si>
  <si>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</si>
  <si>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</si>
  <si>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</si>
  <si>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</si>
  <si>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</si>
  <si>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</si>
  <si>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</si>
  <si>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</si>
  <si>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</si>
  <si>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</si>
  <si>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</si>
  <si>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</si>
  <si>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</si>
  <si>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</si>
  <si>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</si>
  <si>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</si>
  <si>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</si>
  <si>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</si>
  <si>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</si>
  <si>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</si>
  <si>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</si>
  <si>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</si>
  <si>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</si>
  <si>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</si>
  <si>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</si>
  <si>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</si>
  <si>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</si>
  <si>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</si>
  <si>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</si>
  <si>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</si>
  <si>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</si>
  <si>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</si>
  <si>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</si>
  <si>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</si>
  <si>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</si>
  <si>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</si>
  <si>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</si>
  <si>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</si>
  <si>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</si>
  <si>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</si>
  <si>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</si>
  <si>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</si>
  <si>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</si>
  <si>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</si>
  <si>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</si>
  <si>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</si>
  <si>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</si>
  <si>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</si>
  <si>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</si>
  <si>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</si>
  <si>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</si>
  <si>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</si>
  <si>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</si>
  <si>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</si>
  <si>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</si>
  <si>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</si>
  <si>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</si>
  <si>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</si>
  <si>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</si>
  <si>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</si>
  <si>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</si>
  <si>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</si>
  <si>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</si>
  <si>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</si>
  <si>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</si>
  <si>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</si>
  <si>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</si>
  <si>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</si>
  <si>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</si>
  <si>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</si>
  <si>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</si>
  <si>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</si>
  <si>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</si>
  <si>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</si>
  <si>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</si>
  <si>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</si>
  <si>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</si>
  <si>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</si>
  <si>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</si>
  <si>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</si>
  <si>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</si>
  <si>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</si>
  <si>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</si>
  <si>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</si>
  <si>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</si>
  <si>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</si>
  <si>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</si>
  <si>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</si>
  <si>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</si>
  <si>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</si>
  <si>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</si>
  <si>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</si>
  <si>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</si>
  <si>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</si>
  <si>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</si>
  <si>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</si>
  <si>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</si>
  <si>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</si>
  <si>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</si>
  <si>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</si>
  <si>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</si>
  <si>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</si>
  <si>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</si>
  <si>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</si>
  <si>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</si>
  <si>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</si>
  <si>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</si>
  <si>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</si>
  <si>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</si>
  <si>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</si>
  <si>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</si>
  <si>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</si>
  <si>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</si>
  <si>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</si>
  <si>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</si>
  <si>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</si>
  <si>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</si>
  <si>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</si>
  <si>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</si>
  <si>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</si>
  <si>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</si>
  <si>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</si>
  <si>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</si>
  <si>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</si>
  <si>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</si>
  <si>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</si>
  <si>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</si>
  <si>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</si>
  <si>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</si>
  <si>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</si>
  <si>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</si>
  <si>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</si>
  <si>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</si>
  <si>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</si>
  <si>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</si>
  <si>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</si>
  <si>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</si>
  <si>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</si>
  <si>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</si>
  <si>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</si>
  <si>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</si>
  <si>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</si>
  <si>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</si>
  <si>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</si>
  <si>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</si>
  <si>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</si>
  <si>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</si>
  <si>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</si>
  <si>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</si>
  <si>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</si>
  <si>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</si>
  <si>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</si>
  <si>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</si>
  <si>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</si>
  <si>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</si>
  <si>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</si>
  <si>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</si>
  <si>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</si>
  <si>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</si>
  <si>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</si>
  <si>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</si>
  <si>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</si>
  <si>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</si>
  <si>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</si>
  <si>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</si>
  <si>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</si>
  <si>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</si>
  <si>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</si>
  <si>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</si>
  <si>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</si>
  <si>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</si>
  <si>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</si>
  <si>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</si>
  <si>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</si>
  <si>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</si>
  <si>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</si>
  <si>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</si>
  <si>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</si>
  <si>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</si>
  <si>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</si>
  <si>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</si>
  <si>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</si>
  <si>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</si>
  <si>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</si>
  <si>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</si>
  <si>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</si>
  <si>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</si>
  <si>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</si>
  <si>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</si>
  <si>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</si>
  <si>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</si>
  <si>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</si>
  <si>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</si>
  <si>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</si>
  <si>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</si>
  <si>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</si>
  <si>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</si>
  <si>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</si>
  <si>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</si>
  <si>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</si>
  <si>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</si>
  <si>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</si>
  <si>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</si>
  <si>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</si>
  <si>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</si>
  <si>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</si>
  <si>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</si>
  <si>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</si>
  <si>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</si>
  <si>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</si>
  <si>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</si>
  <si>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</si>
  <si>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</si>
  <si>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</si>
  <si>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</si>
  <si>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</si>
  <si>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</si>
  <si>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</si>
  <si>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</si>
  <si>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</si>
  <si>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</si>
  <si>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</si>
  <si>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</si>
  <si>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</si>
  <si>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</si>
  <si>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</si>
  <si>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</si>
  <si>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</si>
  <si>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</si>
  <si>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</si>
  <si>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</si>
  <si>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</si>
  <si>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</si>
  <si>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</si>
  <si>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</si>
  <si>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</si>
  <si>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</si>
  <si>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</si>
  <si>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</si>
  <si>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</si>
  <si>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</si>
  <si>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</si>
  <si>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</si>
  <si>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</si>
  <si>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</si>
  <si>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</si>
  <si>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</si>
  <si>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</si>
  <si>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</si>
  <si>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</si>
  <si>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</si>
  <si>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</si>
  <si>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</si>
  <si>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</si>
  <si>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</si>
  <si>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</si>
  <si>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</si>
  <si>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</si>
  <si>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</si>
  <si>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</si>
  <si>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</si>
  <si>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</si>
  <si>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</si>
  <si>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</si>
  <si>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</si>
  <si>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</si>
  <si>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</si>
  <si>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</si>
  <si>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</si>
  <si>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</si>
  <si>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</si>
  <si>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</si>
  <si>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</si>
  <si>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</si>
  <si>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</si>
  <si>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</si>
  <si>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</si>
  <si>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</si>
  <si>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</si>
  <si>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</si>
  <si>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</si>
  <si>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</si>
  <si>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</si>
  <si>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</si>
  <si>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</si>
  <si>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</si>
  <si>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</si>
  <si>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</si>
  <si>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</si>
  <si>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</si>
  <si>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</si>
  <si>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</si>
  <si>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</si>
  <si>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</si>
  <si>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</si>
  <si>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</si>
  <si>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</si>
  <si>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</si>
  <si>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</si>
  <si>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</si>
  <si>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</si>
  <si>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</si>
  <si>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</si>
  <si>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</si>
  <si>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</si>
  <si>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</si>
  <si>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</si>
  <si>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</si>
  <si>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</si>
  <si>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</si>
  <si>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</si>
  <si>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</si>
  <si>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</si>
  <si>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</si>
  <si>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</si>
  <si>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</si>
  <si>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</si>
  <si>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</si>
  <si>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</si>
  <si>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</si>
  <si>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</si>
  <si>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</si>
  <si>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</si>
  <si>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</si>
  <si>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</si>
  <si>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</si>
  <si>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</si>
  <si>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</si>
  <si>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</si>
  <si>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</si>
  <si>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</si>
  <si>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</si>
  <si>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</si>
  <si>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</si>
  <si>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</si>
  <si>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</si>
  <si>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</si>
  <si>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</si>
  <si>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</si>
  <si>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</si>
  <si>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</si>
  <si>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</si>
  <si>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</si>
  <si>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</si>
  <si>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</si>
  <si>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</si>
  <si>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</si>
  <si>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</si>
  <si>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</si>
  <si>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</si>
  <si>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</si>
  <si>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</si>
  <si>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</si>
  <si>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</si>
  <si>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</si>
  <si>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</si>
  <si>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</si>
  <si>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</si>
  <si>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</si>
  <si>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</si>
  <si>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</si>
  <si>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</si>
  <si>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</si>
  <si>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</si>
  <si>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</si>
  <si>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</si>
  <si>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</si>
  <si>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</si>
  <si>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</si>
  <si>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</si>
  <si>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</si>
  <si>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</si>
  <si>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</si>
  <si>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</si>
  <si>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</si>
  <si>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</si>
  <si>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</si>
  <si>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</si>
  <si>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</si>
  <si>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</si>
  <si>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</si>
  <si>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</si>
  <si>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</si>
  <si>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</si>
  <si>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</si>
  <si>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</si>
  <si>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</si>
  <si>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</si>
  <si>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</si>
  <si>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</si>
  <si>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</si>
  <si>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</si>
  <si>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</si>
  <si>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</si>
  <si>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</si>
  <si>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</si>
  <si>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</si>
  <si>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</si>
  <si>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</si>
  <si>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</si>
  <si>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</si>
  <si>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</si>
  <si>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</si>
  <si>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</si>
  <si>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</si>
  <si>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</si>
  <si>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</si>
  <si>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</si>
  <si>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</si>
  <si>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</si>
  <si>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</si>
  <si>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</si>
  <si>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</si>
  <si>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</si>
  <si>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</si>
  <si>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</si>
  <si>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</si>
  <si>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</si>
  <si>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</si>
  <si>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</si>
  <si>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</si>
  <si>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</si>
  <si>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</si>
  <si>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</si>
  <si>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</si>
  <si>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</si>
  <si>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</si>
  <si>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</si>
  <si>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</si>
  <si>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</si>
  <si>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</si>
  <si>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</si>
  <si>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</si>
  <si>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</si>
  <si>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</si>
  <si>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</si>
  <si>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</si>
  <si>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</si>
  <si>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</si>
  <si>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</si>
  <si>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</si>
  <si>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</si>
  <si>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</si>
  <si>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</si>
  <si>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</si>
  <si>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</si>
  <si>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</si>
  <si>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</si>
  <si>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</si>
  <si>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</si>
  <si>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</si>
  <si>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</si>
  <si>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</si>
  <si>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</si>
  <si>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</si>
  <si>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</si>
  <si>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</si>
  <si>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</si>
  <si>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</si>
  <si>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</si>
  <si>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</si>
  <si>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</si>
  <si>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</si>
  <si>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</si>
  <si>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</si>
  <si>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</si>
  <si>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</si>
  <si>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</si>
  <si>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</si>
  <si>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</si>
  <si>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</si>
  <si>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</si>
  <si>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</si>
  <si>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</si>
  <si>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</si>
  <si>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</si>
  <si>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</si>
  <si>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</si>
  <si>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</si>
  <si>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</si>
  <si>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</si>
  <si>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</si>
  <si>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</si>
  <si>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</si>
  <si>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</si>
  <si>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</si>
  <si>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</si>
  <si>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</si>
  <si>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</si>
  <si>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</si>
  <si>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</si>
  <si>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</si>
  <si>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</si>
  <si>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</si>
  <si>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</si>
  <si>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</si>
  <si>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</si>
  <si>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</si>
  <si>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</si>
  <si>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</si>
  <si>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</si>
  <si>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</si>
  <si>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</si>
  <si>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</si>
  <si>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</si>
  <si>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</si>
  <si>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</si>
  <si>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</si>
  <si>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</si>
  <si>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</si>
  <si>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</si>
  <si>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</si>
  <si>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</si>
  <si>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</si>
  <si>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</si>
  <si>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</si>
  <si>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</si>
  <si>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</si>
  <si>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</si>
  <si>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</si>
  <si>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</si>
  <si>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</si>
  <si>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</si>
  <si>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</si>
  <si>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</si>
  <si>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</si>
  <si>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</si>
  <si>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</si>
  <si>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</si>
  <si>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</si>
  <si>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</si>
  <si>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</si>
  <si>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</si>
  <si>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</si>
  <si>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</si>
  <si>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</si>
  <si>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</si>
  <si>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</si>
  <si>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</si>
  <si>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</si>
  <si>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</si>
  <si>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</si>
  <si>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</si>
  <si>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</si>
  <si>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</si>
  <si>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</si>
  <si>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</si>
  <si>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</si>
  <si>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</si>
  <si>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</si>
  <si>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</si>
  <si>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</si>
  <si>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</si>
  <si>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</si>
  <si>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</si>
  <si>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</si>
  <si>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</si>
  <si>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</si>
  <si>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</si>
  <si>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</si>
  <si>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</si>
  <si>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</si>
  <si>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</si>
  <si>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</si>
  <si>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</si>
  <si>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</si>
  <si>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</si>
  <si>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</si>
  <si>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</si>
  <si>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</si>
  <si>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</si>
  <si>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</si>
  <si>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</si>
  <si>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</si>
  <si>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</si>
  <si>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</si>
  <si>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</si>
  <si>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</si>
  <si>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</si>
  <si>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</si>
  <si>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</si>
  <si>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</si>
  <si>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</si>
  <si>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</si>
  <si>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</si>
  <si>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</si>
  <si>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</si>
  <si>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</si>
  <si>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</si>
  <si>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</si>
  <si>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</si>
  <si>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</si>
  <si>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</si>
  <si>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</si>
  <si>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</si>
  <si>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</si>
  <si>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</si>
  <si>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</si>
  <si>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</si>
  <si>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</si>
  <si>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</si>
  <si>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</si>
  <si>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</si>
  <si>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</si>
  <si>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</si>
  <si>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</si>
  <si>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</si>
  <si>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</si>
  <si>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</si>
  <si>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</si>
  <si>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</si>
  <si>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</si>
  <si>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</si>
  <si>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</si>
  <si>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</si>
  <si>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</si>
  <si>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</si>
  <si>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</si>
  <si>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</si>
  <si>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</si>
  <si>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</si>
  <si>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</si>
  <si>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</si>
  <si>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</si>
  <si>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</si>
  <si>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</si>
  <si>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</si>
  <si>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</si>
  <si>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</si>
  <si>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</si>
  <si>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</si>
  <si>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</si>
  <si>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</si>
  <si>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</si>
  <si>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</si>
  <si>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</si>
  <si>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</si>
  <si>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</si>
  <si>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</si>
  <si>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</si>
  <si>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</si>
  <si>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</si>
  <si>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</si>
  <si>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</si>
  <si>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</si>
  <si>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</si>
  <si>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</si>
  <si>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</si>
  <si>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</si>
  <si>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</si>
  <si>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</si>
  <si>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</si>
  <si>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</si>
  <si>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</si>
  <si>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</si>
  <si>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</si>
  <si>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</si>
  <si>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</si>
  <si>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</si>
  <si>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</si>
  <si>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</si>
  <si>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</si>
  <si>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</si>
  <si>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</si>
  <si>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</si>
  <si>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</si>
  <si>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</si>
  <si>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</si>
  <si>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</si>
  <si>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</si>
  <si>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</si>
  <si>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</si>
  <si>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</si>
  <si>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</si>
  <si>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</si>
  <si>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</si>
  <si>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</si>
  <si>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</si>
  <si>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</si>
  <si>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</si>
  <si>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</si>
  <si>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</si>
  <si>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</si>
  <si>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</si>
  <si>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</si>
  <si>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</si>
  <si>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</si>
  <si>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</si>
  <si>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</si>
  <si>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</si>
  <si>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</si>
  <si>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</si>
  <si>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</si>
  <si>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</si>
  <si>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</si>
  <si>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</si>
  <si>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</si>
  <si>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</si>
  <si>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</si>
  <si>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</si>
  <si>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</si>
  <si>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</si>
  <si>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</si>
  <si>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</si>
  <si>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</si>
  <si>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</si>
  <si>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</si>
  <si>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</si>
  <si>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</si>
  <si>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</si>
  <si>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</si>
  <si>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</si>
  <si>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</si>
  <si>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</si>
  <si>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</si>
  <si>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</si>
  <si>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</si>
  <si>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</si>
  <si>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</si>
  <si>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</si>
  <si>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</si>
  <si>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</si>
  <si>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</si>
  <si>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</si>
  <si>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</si>
  <si>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</si>
  <si>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</si>
  <si>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</si>
  <si>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</si>
  <si>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</si>
  <si>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</si>
  <si>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</si>
  <si>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</si>
  <si>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</si>
  <si>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</si>
  <si>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</si>
  <si>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</si>
  <si>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</si>
  <si>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</si>
  <si>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</si>
  <si>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</si>
  <si>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</si>
  <si>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</si>
  <si>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</si>
  <si>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</si>
  <si>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</si>
  <si>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</si>
  <si>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</si>
  <si>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</si>
  <si>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</si>
  <si>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</si>
  <si>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</si>
  <si>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</si>
  <si>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</si>
  <si>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</si>
  <si>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</si>
  <si>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</si>
  <si>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</si>
  <si>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</si>
  <si>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</si>
  <si>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</si>
  <si>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</si>
  <si>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</si>
  <si>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</si>
  <si>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</si>
  <si>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</si>
  <si>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</si>
  <si>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</si>
  <si>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</si>
  <si>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</si>
  <si>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</si>
  <si>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</si>
  <si>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</si>
  <si>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</si>
  <si>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</si>
  <si>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</si>
  <si>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</si>
  <si>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</si>
  <si>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</si>
  <si>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</si>
  <si>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</si>
  <si>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</si>
  <si>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</si>
  <si>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</si>
  <si>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</si>
  <si>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</si>
  <si>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</si>
  <si>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</si>
  <si>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</si>
  <si>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</si>
  <si>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</si>
  <si>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</si>
  <si>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</si>
  <si>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</si>
  <si>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</si>
  <si>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</si>
  <si>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</si>
  <si>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</si>
  <si>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</si>
  <si>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</si>
  <si>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</si>
  <si>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</si>
  <si>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</si>
  <si>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</si>
  <si>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</si>
  <si>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</si>
  <si>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</si>
  <si>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</si>
  <si>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</si>
  <si>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</si>
  <si>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</si>
  <si>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</si>
  <si>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</si>
  <si>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</si>
  <si>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</si>
  <si>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</si>
  <si>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</si>
  <si>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</si>
  <si>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</si>
  <si>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</si>
  <si>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</si>
  <si>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</si>
  <si>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</si>
  <si>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</si>
  <si>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</si>
  <si>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</si>
  <si>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</si>
  <si>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</si>
  <si>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</si>
  <si>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</si>
  <si>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</si>
  <si>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</si>
  <si>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</si>
  <si>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</si>
  <si>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</si>
  <si>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</si>
  <si>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</si>
  <si>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</si>
  <si>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</si>
  <si>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</si>
  <si>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</si>
  <si>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</si>
  <si>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</si>
  <si>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</si>
  <si>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</si>
  <si>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</si>
  <si>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</si>
  <si>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</si>
  <si>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</si>
  <si>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</si>
  <si>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</si>
  <si>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</si>
  <si>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</si>
  <si>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</si>
  <si>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</si>
  <si>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</si>
  <si>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</si>
  <si>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</si>
  <si>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</si>
  <si>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</si>
  <si>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</si>
  <si>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</si>
  <si>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</si>
  <si>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</si>
  <si>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</si>
  <si>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</si>
  <si>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</si>
  <si>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</si>
  <si>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</si>
  <si>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</si>
  <si>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</si>
  <si>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</si>
  <si>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</si>
  <si>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</si>
  <si>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</si>
  <si>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</si>
  <si>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</si>
  <si>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</si>
  <si>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</si>
  <si>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</si>
  <si>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</si>
  <si>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</si>
  <si>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</si>
  <si>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</si>
  <si>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</si>
  <si>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</si>
  <si>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</si>
  <si>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</si>
  <si>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</si>
  <si>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</si>
  <si>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</si>
  <si>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</si>
  <si>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</si>
  <si>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</si>
  <si>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</si>
  <si>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</si>
  <si>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</si>
  <si>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</si>
  <si>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</si>
  <si>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</si>
  <si>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</si>
  <si>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</si>
  <si>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</si>
  <si>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</si>
  <si>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</si>
  <si>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</si>
  <si>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</si>
  <si>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</si>
  <si>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</si>
  <si>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</si>
  <si>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</si>
  <si>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</si>
  <si>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</si>
  <si>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</si>
  <si>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</si>
  <si>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</si>
  <si>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</si>
  <si>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</si>
  <si>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</si>
  <si>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</si>
  <si>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</si>
  <si>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</si>
  <si>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</si>
  <si>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</si>
  <si>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</si>
  <si>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</si>
  <si>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</si>
  <si>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</si>
  <si>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</si>
  <si>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</si>
  <si>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</si>
  <si>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</si>
  <si>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</si>
  <si>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</si>
  <si>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</si>
  <si>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</si>
  <si>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</si>
  <si>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</si>
  <si>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</si>
  <si>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</si>
  <si>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</si>
  <si>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</si>
  <si>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</si>
  <si>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</si>
  <si>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</si>
  <si>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</si>
  <si>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</si>
  <si>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</si>
  <si>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</si>
  <si>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</si>
  <si>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</si>
  <si>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</si>
  <si>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</si>
  <si>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</si>
  <si>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</si>
  <si>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</si>
  <si>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</si>
  <si>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</si>
  <si>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</si>
  <si>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</si>
  <si>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</si>
  <si>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</si>
  <si>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</si>
  <si>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</si>
  <si>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</si>
  <si>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</si>
  <si>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</si>
  <si>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</si>
  <si>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</si>
  <si>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</si>
  <si>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</si>
  <si>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</si>
  <si>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</si>
  <si>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</si>
  <si>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</si>
  <si>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</si>
  <si>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</si>
  <si>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</si>
  <si>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</si>
  <si>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</si>
  <si>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</si>
  <si>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</si>
  <si>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</si>
  <si>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</si>
  <si>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</si>
  <si>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</si>
  <si>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</si>
  <si>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</si>
  <si>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</si>
  <si>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</si>
  <si>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</si>
  <si>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</si>
  <si>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</si>
  <si>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</si>
  <si>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</si>
  <si>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</si>
  <si>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</si>
  <si>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</si>
  <si>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</si>
  <si>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</si>
  <si>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</si>
  <si>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</si>
  <si>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</si>
  <si>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</si>
  <si>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</si>
  <si>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</si>
  <si>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</si>
  <si>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</si>
  <si>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</si>
  <si>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</si>
  <si>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</si>
  <si>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</si>
  <si>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</si>
  <si>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</si>
  <si>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</si>
  <si>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</si>
  <si>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</si>
  <si>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</si>
  <si>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</si>
  <si>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</si>
  <si>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</si>
  <si>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</si>
  <si>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</si>
  <si>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</si>
  <si>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</si>
  <si>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</si>
  <si>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</si>
  <si>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</si>
  <si>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</si>
  <si>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</si>
  <si>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</si>
  <si>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</si>
  <si>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</si>
  <si>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</si>
  <si>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</si>
  <si>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</si>
  <si>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</si>
  <si>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</si>
  <si>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</si>
  <si>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</si>
  <si>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</si>
  <si>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</si>
  <si>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</si>
  <si>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</si>
  <si>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</si>
  <si>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</si>
  <si>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</si>
  <si>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</si>
  <si>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</si>
  <si>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</si>
  <si>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</si>
  <si>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</si>
  <si>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</si>
  <si>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</si>
  <si>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</si>
  <si>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</si>
  <si>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</si>
  <si>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</si>
  <si>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</si>
  <si>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</si>
  <si>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</si>
  <si>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</si>
  <si>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</si>
  <si>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</si>
  <si>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</si>
  <si>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</si>
  <si>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</si>
  <si>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</si>
  <si>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</si>
  <si>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</si>
  <si>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</si>
  <si>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</si>
  <si>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</si>
  <si>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</si>
  <si>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</si>
  <si>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</si>
  <si>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</si>
  <si>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</si>
  <si>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</si>
  <si>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</si>
  <si>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</si>
  <si>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</si>
  <si>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</si>
  <si>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</si>
  <si>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</si>
  <si>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</si>
  <si>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</si>
  <si>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</si>
  <si>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</si>
  <si>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</si>
  <si>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</si>
  <si>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</si>
  <si>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</si>
  <si>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</si>
  <si>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</si>
  <si>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</si>
  <si>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</si>
  <si>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</si>
  <si>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</si>
  <si>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</si>
  <si>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</si>
  <si>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</si>
  <si>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</si>
  <si>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</si>
  <si>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</si>
  <si>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</si>
  <si>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</si>
  <si>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</si>
  <si>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</si>
  <si>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</si>
  <si>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</si>
  <si>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</si>
  <si>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</si>
  <si>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</si>
  <si>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</si>
  <si>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</si>
  <si>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</si>
  <si>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</si>
  <si>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</si>
  <si>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</si>
  <si>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</si>
  <si>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</si>
  <si>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</si>
  <si>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</si>
  <si>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</si>
  <si>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</si>
  <si>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</si>
  <si>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</si>
  <si>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</si>
  <si>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</si>
  <si>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</si>
  <si>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</si>
  <si>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</si>
  <si>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</si>
  <si>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</si>
  <si>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</si>
  <si>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</si>
  <si>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</si>
  <si>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</si>
  <si>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</si>
  <si>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</si>
  <si>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</si>
  <si>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</si>
  <si>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</si>
  <si>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</si>
  <si>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</si>
  <si>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</si>
  <si>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</si>
  <si>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</si>
  <si>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</si>
  <si>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</si>
  <si>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</si>
  <si>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</si>
  <si>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</si>
  <si>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</si>
  <si>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</si>
  <si>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</si>
  <si>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</si>
  <si>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</si>
  <si>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</si>
  <si>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</si>
  <si>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</si>
  <si>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</si>
  <si>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</si>
  <si>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</si>
  <si>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</si>
  <si>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</si>
  <si>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</si>
  <si>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</si>
  <si>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</si>
  <si>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</si>
  <si>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</si>
  <si>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</si>
  <si>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</si>
  <si>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</si>
  <si>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</si>
  <si>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</si>
  <si>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</si>
  <si>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</si>
  <si>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</si>
  <si>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</si>
  <si>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</si>
  <si>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</si>
  <si>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</si>
  <si>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</si>
  <si>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</si>
  <si>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</si>
  <si>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</si>
  <si>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</si>
  <si>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</si>
  <si>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</si>
  <si>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</si>
  <si>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</si>
  <si>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</si>
  <si>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</si>
  <si>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</si>
  <si>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</si>
  <si>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</si>
  <si>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</si>
  <si>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</si>
  <si>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</si>
  <si>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</si>
  <si>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</si>
  <si>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</si>
  <si>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</si>
  <si>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</si>
  <si>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</si>
  <si>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</si>
  <si>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</si>
  <si>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</si>
  <si>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</si>
  <si>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</si>
  <si>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</si>
  <si>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</si>
  <si>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</si>
  <si>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</si>
  <si>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</si>
  <si>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</si>
  <si>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</si>
  <si>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</si>
  <si>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</si>
  <si>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</si>
  <si>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</si>
  <si>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</si>
  <si>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</si>
  <si>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</si>
  <si>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</si>
  <si>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</si>
  <si>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</si>
  <si>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</si>
  <si>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</si>
  <si>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</si>
  <si>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</si>
  <si>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</si>
  <si>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</si>
  <si>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</si>
  <si>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</si>
  <si>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</si>
  <si>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</si>
  <si>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</si>
  <si>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</si>
  <si>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</si>
  <si>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</si>
  <si>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</si>
  <si>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</si>
  <si>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</si>
  <si>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</si>
  <si>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</si>
  <si>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</si>
  <si>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</si>
  <si>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</si>
  <si>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</si>
  <si>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</si>
  <si>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</si>
  <si>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</si>
  <si>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</si>
  <si>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</si>
  <si>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</si>
  <si>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</si>
  <si>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</si>
  <si>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</si>
  <si>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</si>
  <si>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</si>
  <si>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</si>
  <si>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</si>
  <si>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</si>
  <si>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</si>
  <si>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</si>
  <si>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</si>
  <si>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</si>
  <si>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</si>
  <si>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</si>
  <si>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</si>
  <si>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</si>
  <si>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</si>
  <si>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</si>
  <si>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</si>
  <si>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</si>
  <si>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</si>
  <si>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</si>
  <si>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</si>
  <si>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</si>
  <si>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</si>
  <si>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</si>
  <si>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</si>
  <si>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</si>
  <si>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</si>
  <si>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</si>
  <si>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</si>
  <si>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</si>
  <si>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</si>
  <si>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</si>
  <si>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</si>
  <si>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</si>
  <si>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</si>
  <si>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</si>
  <si>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</si>
  <si>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</si>
  <si>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</si>
  <si>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</si>
  <si>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</si>
  <si>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</si>
  <si>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</si>
  <si>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</si>
  <si>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</si>
  <si>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</si>
  <si>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</si>
  <si>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</si>
  <si>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</si>
  <si>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</si>
  <si>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</si>
  <si>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</si>
  <si>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</si>
  <si>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</si>
  <si>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</si>
  <si>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</si>
  <si>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</si>
  <si>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</si>
  <si>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</si>
  <si>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</si>
  <si>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</si>
  <si>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</si>
  <si>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</si>
  <si>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</si>
  <si>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</si>
  <si>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</si>
  <si>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</si>
  <si>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</si>
  <si>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</si>
  <si>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</si>
  <si>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</si>
  <si>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</si>
  <si>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</si>
  <si>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</si>
  <si>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</si>
  <si>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</si>
  <si>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</si>
  <si>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</si>
  <si>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</si>
  <si>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</si>
  <si>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</si>
  <si>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</si>
  <si>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</si>
  <si>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</si>
  <si>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</si>
  <si>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</si>
  <si>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</si>
  <si>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</si>
  <si>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</si>
  <si>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</si>
  <si>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</si>
  <si>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</si>
  <si>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</si>
  <si>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</si>
  <si>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</si>
  <si>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</si>
  <si>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</si>
  <si>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</si>
  <si>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</si>
  <si>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</si>
  <si>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</si>
  <si>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</si>
  <si>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</si>
  <si>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</si>
  <si>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</si>
  <si>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</si>
  <si>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</si>
  <si>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</si>
  <si>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</si>
  <si>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</si>
  <si>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</si>
  <si>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</si>
  <si>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</si>
  <si>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</si>
  <si>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</si>
  <si>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</si>
  <si>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</si>
  <si>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</si>
  <si>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</si>
  <si>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</si>
  <si>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</si>
  <si>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</si>
  <si>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</si>
  <si>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</si>
  <si>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</si>
  <si>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</si>
  <si>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</si>
  <si>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</si>
  <si>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</si>
  <si>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</si>
  <si>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</si>
  <si>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</si>
  <si>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</si>
  <si>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</si>
  <si>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</si>
  <si>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</si>
  <si>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</si>
  <si>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</si>
  <si>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</si>
  <si>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</si>
  <si>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</si>
  <si>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</si>
  <si>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</si>
  <si>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</si>
  <si>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</si>
  <si>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</si>
  <si>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</si>
  <si>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</si>
  <si>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</si>
  <si>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</si>
  <si>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</si>
  <si>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</si>
  <si>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</si>
  <si>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</si>
  <si>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</si>
  <si>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</si>
  <si>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</si>
  <si>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</si>
  <si>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</si>
  <si>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</si>
  <si>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</si>
  <si>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</si>
  <si>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</si>
  <si>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</si>
  <si>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</si>
  <si>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</si>
  <si>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</si>
  <si>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</si>
  <si>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</si>
  <si>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</si>
  <si>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</si>
  <si>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</si>
  <si>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</si>
  <si>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</si>
  <si>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</si>
  <si>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</si>
  <si>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</si>
  <si>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</si>
  <si>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</si>
  <si>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</si>
  <si>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</si>
  <si>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</si>
  <si>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</si>
  <si>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</si>
  <si>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</si>
  <si>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</si>
  <si>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</si>
  <si>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</si>
  <si>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</si>
  <si>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</si>
  <si>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</si>
  <si>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</si>
  <si>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</si>
  <si>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</si>
  <si>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</si>
  <si>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</si>
  <si>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</si>
  <si>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</si>
  <si>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</si>
  <si>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</si>
  <si>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</si>
  <si>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</si>
  <si>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</si>
  <si>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</si>
  <si>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</si>
  <si>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</si>
  <si>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</si>
  <si>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</si>
  <si>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</si>
  <si>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</si>
  <si>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</si>
  <si>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</si>
  <si>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</si>
  <si>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</si>
  <si>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</si>
  <si>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</si>
  <si>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</si>
  <si>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</si>
  <si>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</si>
  <si>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</si>
  <si>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</si>
  <si>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</si>
  <si>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</si>
  <si>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</si>
  <si>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</si>
  <si>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</si>
  <si>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</si>
  <si>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</si>
  <si>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</si>
  <si>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</si>
  <si>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</si>
  <si>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</si>
  <si>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</si>
  <si>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</si>
  <si>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</si>
  <si>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</si>
  <si>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</si>
  <si>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</si>
  <si>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</si>
  <si>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</si>
  <si>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</si>
  <si>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</si>
  <si>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</si>
  <si>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</si>
  <si>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</si>
  <si>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</si>
  <si>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</si>
  <si>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</si>
  <si>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</si>
  <si>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</si>
  <si>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</si>
  <si>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</si>
  <si>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</si>
  <si>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</si>
  <si>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</si>
  <si>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</si>
  <si>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</si>
  <si>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</si>
  <si>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</si>
  <si>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</si>
  <si>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</si>
  <si>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</si>
  <si>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</si>
  <si>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</si>
  <si>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</si>
  <si>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</si>
  <si>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</si>
  <si>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</si>
  <si>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</si>
  <si>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</si>
  <si>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</si>
  <si>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</si>
  <si>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</si>
  <si>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</si>
  <si>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</si>
  <si>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</si>
  <si>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</si>
  <si>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</si>
  <si>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</si>
  <si>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</si>
  <si>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</si>
  <si>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</si>
  <si>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</si>
  <si>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</si>
  <si>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</si>
  <si>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</si>
  <si>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</si>
  <si>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</si>
  <si>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</si>
  <si>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</si>
  <si>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</si>
  <si>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</si>
  <si>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</si>
  <si>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</si>
  <si>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</si>
  <si>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</si>
  <si>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</si>
  <si>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</si>
  <si>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</si>
  <si>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</si>
  <si>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</si>
  <si>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</si>
  <si>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</si>
  <si>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</si>
  <si>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</si>
  <si>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</si>
  <si>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</si>
  <si>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</si>
  <si>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</si>
  <si>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</si>
  <si>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</si>
  <si>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</si>
  <si>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</si>
  <si>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</si>
  <si>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</si>
  <si>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</si>
  <si>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</si>
  <si>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</si>
  <si>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</si>
  <si>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</si>
  <si>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</si>
  <si>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</si>
  <si>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</si>
  <si>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</si>
  <si>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</si>
  <si>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</si>
  <si>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</si>
  <si>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</si>
  <si>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</si>
  <si>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</si>
  <si>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</si>
  <si>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</si>
  <si>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</si>
  <si>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</si>
  <si>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</si>
  <si>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</si>
  <si>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</si>
  <si>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</si>
  <si>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</si>
  <si>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</si>
  <si>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</si>
  <si>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</si>
  <si>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</si>
  <si>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</si>
  <si>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</si>
  <si>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</si>
  <si>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</si>
  <si>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</si>
  <si>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</si>
  <si>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</si>
  <si>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</si>
  <si>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</si>
  <si>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</si>
  <si>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</si>
  <si>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</si>
  <si>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</si>
  <si>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</si>
  <si>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</si>
  <si>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</si>
  <si>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</si>
  <si>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</si>
  <si>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</si>
  <si>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</si>
  <si>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</si>
  <si>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</si>
  <si>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</si>
  <si>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</si>
  <si>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</si>
  <si>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</si>
  <si>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</si>
  <si>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</si>
  <si>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</si>
  <si>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</si>
  <si>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</si>
  <si>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</si>
  <si>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</si>
  <si>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</si>
  <si>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</si>
  <si>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</si>
  <si>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</si>
  <si>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</si>
  <si>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</si>
  <si>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</si>
  <si>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</si>
  <si>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</si>
  <si>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</si>
  <si>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</si>
  <si>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</si>
  <si>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</si>
  <si>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</si>
  <si>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</si>
  <si>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</si>
  <si>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</si>
  <si>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</si>
  <si>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</si>
  <si>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</si>
  <si>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</si>
  <si>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</si>
  <si>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</si>
  <si>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</si>
  <si>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</si>
  <si>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</si>
  <si>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</si>
  <si>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</si>
  <si>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</si>
  <si>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</si>
  <si>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</si>
  <si>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</si>
  <si>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</si>
  <si>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</si>
  <si>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</si>
  <si>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</si>
  <si>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</si>
  <si>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</si>
  <si>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</si>
  <si>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</si>
  <si>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</si>
  <si>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</si>
  <si>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</si>
  <si>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</si>
  <si>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</si>
  <si>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</si>
  <si>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</si>
  <si>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</si>
  <si>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</si>
  <si>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</si>
  <si>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</si>
  <si>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</si>
  <si>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</si>
  <si>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</si>
  <si>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</si>
  <si>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</si>
  <si>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</si>
  <si>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</si>
  <si>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</si>
  <si>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</si>
  <si>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</si>
  <si>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</si>
  <si>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</si>
  <si>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</si>
  <si>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</si>
  <si>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</si>
  <si>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</si>
  <si>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</si>
  <si>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</si>
  <si>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</si>
  <si>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</si>
  <si>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</si>
  <si>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</si>
  <si>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</si>
  <si>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</si>
  <si>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</si>
  <si>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</si>
  <si>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</si>
  <si>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</si>
  <si>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</si>
  <si>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</si>
  <si>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</si>
  <si>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</si>
  <si>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</si>
  <si>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</si>
  <si>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</si>
  <si>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</si>
  <si>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</si>
  <si>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</si>
  <si>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</si>
  <si>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</si>
  <si>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</si>
  <si>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</si>
  <si>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</si>
  <si>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</si>
  <si>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</si>
  <si>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</si>
  <si>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</si>
  <si>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</si>
  <si>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</si>
  <si>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</si>
  <si>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</si>
  <si>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</si>
  <si>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</si>
  <si>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</si>
  <si>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</si>
  <si>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</si>
  <si>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</si>
  <si>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</si>
  <si>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</si>
  <si>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</si>
  <si>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</si>
  <si>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</si>
  <si>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</si>
  <si>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</si>
  <si>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</si>
  <si>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</si>
  <si>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</si>
  <si>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</si>
  <si>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</si>
  <si>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</si>
  <si>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</si>
  <si>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</si>
  <si>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</si>
  <si>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</si>
  <si>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</si>
  <si>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</si>
  <si>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</si>
  <si>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</si>
  <si>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</si>
  <si>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</si>
  <si>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</si>
  <si>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</si>
  <si>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</si>
  <si>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</si>
  <si>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</si>
  <si>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</si>
  <si>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</si>
  <si>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</si>
  <si>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</si>
  <si>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</si>
  <si>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</si>
  <si>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</si>
  <si>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</si>
  <si>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</si>
  <si>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</si>
  <si>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</si>
  <si>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</si>
  <si>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</si>
  <si>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</si>
  <si>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</si>
  <si>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</si>
  <si>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</si>
  <si>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</si>
  <si>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</si>
  <si>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</si>
  <si>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</si>
  <si>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</si>
  <si>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</si>
  <si>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</si>
  <si>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</si>
  <si>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</si>
  <si>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</si>
  <si>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</si>
  <si>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</si>
  <si>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</si>
  <si>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</si>
  <si>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</si>
  <si>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</si>
  <si>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</si>
  <si>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</si>
  <si>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</si>
  <si>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</si>
  <si>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</si>
  <si>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</si>
  <si>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</si>
  <si>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</si>
  <si>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</si>
  <si>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</si>
  <si>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</si>
  <si>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</si>
  <si>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</si>
  <si>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</si>
  <si>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</si>
  <si>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</si>
  <si>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</si>
  <si>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</si>
  <si>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</si>
  <si>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</si>
  <si>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</si>
  <si>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</si>
  <si>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</si>
  <si>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</si>
  <si>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</si>
  <si>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</si>
  <si>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</si>
  <si>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</si>
  <si>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</si>
  <si>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</si>
  <si>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</si>
  <si>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</si>
  <si>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</si>
  <si>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</si>
  <si>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</si>
  <si>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</si>
  <si>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</si>
  <si>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</si>
  <si>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</si>
  <si>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</si>
  <si>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</si>
  <si>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</si>
  <si>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</si>
  <si>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</si>
  <si>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</si>
  <si>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</si>
  <si>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</si>
  <si>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</si>
  <si>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</si>
  <si>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</si>
  <si>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</si>
  <si>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</si>
  <si>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</si>
  <si>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</si>
  <si>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</si>
  <si>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</si>
  <si>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</si>
  <si>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</si>
  <si>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</si>
  <si>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</si>
  <si>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</si>
  <si>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</si>
  <si>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</si>
  <si>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</si>
  <si>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</si>
  <si>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</si>
  <si>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</si>
  <si>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</si>
  <si>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</si>
  <si>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</si>
  <si>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</si>
  <si>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</si>
  <si>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</si>
  <si>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</si>
  <si>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</si>
  <si>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</si>
  <si>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</si>
  <si>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</si>
  <si>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</si>
  <si>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</si>
  <si>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</si>
  <si>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</si>
  <si>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</si>
  <si>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</si>
  <si>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</si>
  <si>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</si>
  <si>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</si>
  <si>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</si>
  <si>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</si>
  <si>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</si>
  <si>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</si>
  <si>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</si>
  <si>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</si>
  <si>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</si>
  <si>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</si>
  <si>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</si>
  <si>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</si>
  <si>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</si>
  <si>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</si>
  <si>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</si>
  <si>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</si>
  <si>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</si>
  <si>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</si>
  <si>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</si>
  <si>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</si>
  <si>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</si>
  <si>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</si>
  <si>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</si>
  <si>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</si>
  <si>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</si>
  <si>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</si>
  <si>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</si>
  <si>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</si>
  <si>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</si>
  <si>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</si>
  <si>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</si>
  <si>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</si>
  <si>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</si>
  <si>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</si>
  <si>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</si>
  <si>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</si>
  <si>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</si>
  <si>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</si>
  <si>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</si>
  <si>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</si>
  <si>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</si>
  <si>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</si>
  <si>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</si>
  <si>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</si>
  <si>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</si>
  <si>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</si>
  <si>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</si>
  <si>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</si>
  <si>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</si>
  <si>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</si>
  <si>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</si>
  <si>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</si>
  <si>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</si>
  <si>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</si>
  <si>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</si>
  <si>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</si>
  <si>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</si>
  <si>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</si>
  <si>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</si>
  <si>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</si>
  <si>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</si>
  <si>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</si>
  <si>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</si>
  <si>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</si>
  <si>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</si>
  <si>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</si>
  <si>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</si>
  <si>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</si>
  <si>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</si>
  <si>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</si>
  <si>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</si>
  <si>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</si>
  <si>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</si>
  <si>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</si>
  <si>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</si>
  <si>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</si>
  <si>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</si>
  <si>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</si>
  <si>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</si>
  <si>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</si>
  <si>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</si>
  <si>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</si>
  <si>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</si>
  <si>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</si>
  <si>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</si>
  <si>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</si>
  <si>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</si>
  <si>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</si>
  <si>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</si>
  <si>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</si>
  <si>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</si>
  <si>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</si>
  <si>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</si>
  <si>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</si>
  <si>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</si>
  <si>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</si>
  <si>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</si>
  <si>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</si>
  <si>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</si>
  <si>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</si>
  <si>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</si>
  <si>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</si>
  <si>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</si>
  <si>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</si>
  <si>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</si>
  <si>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</si>
  <si>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</si>
  <si>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</si>
  <si>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</si>
  <si>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</si>
  <si>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</si>
  <si>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</si>
  <si>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</si>
  <si>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</si>
  <si>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</si>
  <si>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</si>
  <si>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</si>
  <si>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</si>
  <si>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</si>
  <si>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</si>
  <si>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</si>
  <si>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</si>
  <si>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</si>
  <si>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</si>
  <si>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</si>
  <si>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</si>
  <si>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</si>
  <si>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</si>
  <si>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</si>
  <si>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</si>
  <si>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</si>
  <si>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</si>
  <si>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</si>
  <si>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</si>
  <si>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</si>
  <si>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</si>
  <si>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</si>
  <si>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</si>
  <si>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</si>
  <si>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</si>
  <si>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</si>
  <si>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</si>
  <si>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</si>
  <si>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</si>
  <si>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</si>
  <si>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</si>
  <si>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</si>
  <si>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</si>
  <si>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</si>
  <si>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</si>
  <si>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</si>
  <si>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</si>
  <si>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</si>
  <si>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</si>
  <si>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</si>
  <si>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</si>
  <si>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</si>
  <si>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</si>
  <si>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</si>
  <si>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</si>
  <si>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</si>
  <si>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</si>
  <si>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</si>
  <si>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</si>
  <si>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</si>
  <si>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</si>
  <si>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</si>
  <si>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</si>
  <si>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</si>
  <si>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</si>
  <si>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</si>
  <si>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</si>
  <si>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</si>
  <si>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</si>
  <si>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</si>
  <si>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</si>
  <si>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</si>
  <si>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</si>
  <si>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</si>
  <si>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</si>
  <si>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</si>
  <si>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</si>
  <si>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</si>
  <si>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</si>
  <si>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</si>
  <si>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</si>
  <si>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</si>
  <si>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</si>
  <si>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</si>
  <si>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</si>
  <si>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</si>
  <si>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</si>
  <si>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</si>
  <si>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</si>
  <si>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</si>
  <si>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</si>
  <si>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</si>
  <si>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</si>
  <si>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</si>
  <si>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</si>
  <si>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</si>
  <si>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</si>
  <si>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</si>
  <si>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</si>
  <si>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</si>
  <si>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</si>
  <si>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</si>
  <si>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</si>
  <si>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</si>
  <si>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</si>
  <si>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</si>
  <si>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</si>
  <si>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</si>
  <si>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</si>
  <si>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</si>
  <si>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</si>
  <si>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</si>
  <si>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</si>
  <si>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</si>
  <si>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</si>
  <si>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</si>
  <si>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</si>
  <si>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</si>
  <si>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</si>
  <si>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</si>
  <si>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</si>
  <si>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</si>
  <si>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</si>
  <si>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</si>
  <si>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</si>
  <si>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</si>
  <si>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</si>
  <si>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</si>
  <si>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</si>
  <si>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</si>
  <si>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</si>
  <si>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</si>
  <si>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</si>
  <si>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</si>
  <si>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</si>
  <si>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</si>
  <si>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</si>
  <si>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</si>
  <si>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</si>
  <si>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</si>
  <si>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</si>
  <si>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</si>
  <si>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</si>
  <si>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</si>
  <si>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</si>
  <si>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</si>
  <si>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</si>
  <si>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</si>
  <si>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</si>
  <si>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</si>
  <si>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</si>
  <si>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</si>
  <si>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</si>
  <si>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</si>
  <si>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</si>
  <si>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</si>
  <si>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</si>
  <si>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</si>
  <si>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</si>
  <si>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</si>
  <si>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</si>
  <si>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</si>
  <si>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</si>
  <si>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</si>
  <si>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</si>
  <si>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</si>
  <si>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</si>
  <si>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</si>
  <si>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</si>
  <si>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</si>
  <si>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</si>
  <si>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</si>
  <si>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</si>
  <si>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</si>
  <si>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</si>
  <si>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</si>
  <si>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</si>
  <si>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</si>
  <si>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</si>
  <si>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</si>
  <si>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</si>
  <si>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</si>
  <si>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</si>
  <si>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</si>
  <si>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</si>
  <si>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</si>
  <si>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</si>
  <si>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</si>
  <si>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</si>
  <si>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</si>
  <si>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</si>
  <si>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</si>
  <si>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</si>
  <si>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</si>
  <si>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</si>
  <si>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</si>
  <si>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</si>
  <si>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</si>
  <si>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</si>
  <si>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</si>
  <si>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</si>
  <si>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</si>
  <si>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</si>
  <si>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</si>
  <si>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</si>
  <si>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</si>
  <si>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</si>
  <si>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</si>
  <si>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</si>
  <si>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</si>
  <si>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</si>
  <si>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</si>
  <si>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</si>
  <si>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</si>
  <si>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</si>
  <si>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</si>
  <si>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</si>
  <si>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</si>
  <si>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</si>
  <si>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</si>
  <si>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</si>
  <si>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</si>
  <si>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</si>
  <si>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</si>
  <si>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</si>
  <si>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</si>
  <si>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</si>
  <si>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</si>
  <si>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</si>
  <si>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</si>
  <si>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</si>
  <si>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</si>
  <si>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</si>
  <si>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</si>
  <si>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</si>
  <si>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</si>
  <si>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</si>
  <si>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</si>
  <si>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</si>
  <si>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</si>
  <si>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</si>
  <si>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</si>
  <si>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</si>
  <si>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</si>
  <si>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</si>
  <si>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</si>
  <si>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</si>
  <si>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</si>
  <si>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</si>
  <si>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</si>
  <si>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</si>
  <si>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</si>
  <si>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</si>
  <si>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</si>
  <si>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</si>
  <si>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</si>
  <si>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</si>
  <si>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</si>
  <si>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</si>
  <si>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</si>
  <si>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</si>
  <si>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</si>
  <si>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</si>
  <si>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</si>
  <si>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</si>
  <si>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</si>
  <si>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</si>
  <si>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</si>
  <si>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</si>
  <si>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</si>
  <si>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</si>
  <si>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</si>
  <si>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</si>
  <si>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</si>
  <si>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</si>
  <si>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</si>
  <si>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</si>
  <si>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</si>
  <si>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</si>
  <si>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</si>
  <si>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</si>
  <si>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</si>
  <si>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</si>
  <si>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</si>
  <si>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</si>
  <si>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</si>
  <si>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</si>
  <si>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</si>
  <si>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</si>
  <si>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</si>
  <si>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</si>
  <si>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</si>
  <si>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</si>
  <si>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</si>
  <si>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</si>
  <si>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</si>
  <si>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</si>
  <si>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</si>
  <si>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</si>
  <si>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</si>
  <si>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</si>
  <si>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</si>
  <si>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</si>
  <si>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</si>
  <si>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</si>
  <si>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</si>
  <si>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</si>
  <si>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</si>
  <si>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</si>
  <si>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</si>
  <si>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</si>
  <si>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</si>
  <si>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</si>
  <si>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</si>
  <si>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</si>
  <si>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</si>
  <si>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</si>
  <si>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</si>
  <si>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</si>
  <si>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</si>
  <si>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</si>
  <si>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</si>
  <si>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</si>
  <si>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</si>
  <si>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</si>
  <si>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</si>
  <si>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</si>
  <si>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</si>
  <si>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</si>
  <si>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</si>
  <si>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</si>
  <si>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</si>
  <si>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</si>
  <si>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</si>
  <si>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</si>
  <si>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</si>
  <si>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</si>
  <si>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</si>
  <si>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</si>
  <si>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</si>
  <si>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</si>
  <si>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</si>
  <si>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</si>
  <si>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</si>
  <si>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</si>
  <si>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</si>
  <si>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</si>
  <si>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</si>
  <si>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</si>
  <si>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</si>
  <si>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</si>
  <si>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</si>
  <si>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</si>
  <si>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</si>
  <si>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</si>
  <si>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</si>
  <si>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</si>
  <si>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</si>
  <si>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</si>
  <si>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</si>
  <si>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</si>
  <si>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</si>
  <si>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</si>
  <si>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</si>
  <si>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</si>
  <si>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</si>
  <si>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</si>
  <si>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</si>
  <si>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</si>
  <si>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</si>
  <si>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</si>
  <si>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</si>
  <si>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</si>
  <si>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</si>
  <si>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</si>
  <si>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</si>
  <si>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</si>
  <si>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</si>
  <si>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</si>
  <si>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</si>
  <si>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</si>
  <si>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</si>
  <si>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</si>
  <si>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</si>
  <si>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</si>
  <si>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</si>
  <si>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</si>
  <si>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</si>
  <si>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</si>
  <si>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</si>
  <si>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</si>
  <si>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</si>
  <si>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</si>
  <si>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</si>
  <si>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</si>
  <si>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</si>
  <si>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</si>
  <si>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</si>
  <si>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</si>
  <si>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</si>
  <si>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</si>
  <si>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</si>
  <si>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</si>
  <si>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</si>
  <si>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</si>
  <si>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</si>
  <si>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</si>
  <si>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</si>
  <si>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</si>
  <si>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</si>
  <si>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</si>
  <si>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</si>
  <si>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</si>
  <si>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</si>
  <si>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</si>
  <si>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</si>
  <si>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</si>
  <si>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</si>
  <si>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</si>
  <si>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</si>
  <si>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</si>
  <si>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</si>
  <si>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</si>
  <si>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</si>
  <si>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</si>
  <si>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</si>
  <si>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</si>
  <si>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</si>
  <si>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</si>
  <si>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</si>
  <si>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</si>
  <si>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</si>
  <si>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</si>
  <si>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</si>
  <si>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</si>
  <si>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</si>
  <si>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</si>
  <si>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</si>
  <si>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</si>
  <si>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</si>
  <si>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</si>
  <si>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</si>
  <si>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</si>
  <si>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</si>
  <si>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</si>
  <si>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</si>
  <si>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</si>
  <si>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</si>
  <si>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</si>
  <si>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</si>
  <si>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</si>
  <si>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</si>
  <si>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</si>
  <si>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</si>
  <si>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</si>
  <si>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</si>
  <si>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</si>
  <si>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</si>
  <si>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</si>
  <si>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</si>
  <si>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</si>
  <si>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</si>
  <si>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</si>
  <si>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</si>
  <si>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</si>
  <si>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</si>
  <si>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</si>
  <si>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</si>
  <si>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</si>
  <si>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</si>
  <si>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</si>
  <si>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</si>
  <si>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</si>
  <si>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</si>
  <si>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</si>
  <si>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</si>
  <si>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</si>
  <si>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</si>
  <si>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</si>
  <si>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</si>
  <si>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</si>
  <si>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</si>
  <si>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</si>
  <si>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</si>
  <si>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</si>
  <si>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</si>
  <si>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</si>
  <si>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</si>
  <si>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</si>
  <si>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</si>
  <si>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</si>
  <si>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</si>
  <si>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</si>
  <si>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</si>
  <si>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</si>
  <si>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</si>
  <si>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</si>
  <si>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</si>
  <si>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</si>
  <si>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</si>
  <si>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</si>
  <si>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</si>
  <si>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</si>
  <si>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</si>
  <si>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</si>
  <si>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</si>
  <si>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</si>
  <si>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</si>
  <si>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</si>
  <si>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</si>
  <si>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</si>
  <si>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</si>
  <si>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</si>
  <si>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</si>
  <si>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</si>
  <si>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</si>
  <si>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</si>
  <si>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</si>
  <si>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</si>
  <si>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</si>
  <si>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</si>
  <si>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</si>
  <si>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</si>
  <si>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</si>
  <si>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</si>
  <si>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</si>
  <si>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</si>
  <si>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</si>
  <si>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</si>
  <si>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</si>
  <si>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</si>
  <si>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</si>
  <si>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</si>
  <si>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</si>
  <si>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</si>
  <si>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</si>
  <si>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</si>
  <si>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</si>
  <si>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</si>
  <si>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</si>
  <si>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</si>
  <si>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</si>
  <si>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</si>
  <si>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</si>
  <si>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</si>
  <si>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</si>
  <si>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</si>
  <si>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</si>
  <si>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</si>
  <si>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</si>
  <si>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</si>
  <si>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</si>
  <si>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</si>
  <si>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</si>
  <si>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</si>
  <si>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</si>
  <si>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</si>
  <si>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</si>
  <si>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</si>
  <si>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</si>
  <si>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</si>
  <si>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</si>
  <si>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</si>
  <si>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</si>
  <si>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</si>
  <si>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</si>
  <si>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</si>
  <si>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</si>
  <si>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</si>
  <si>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</si>
  <si>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</si>
  <si>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</si>
  <si>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</si>
  <si>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</si>
  <si>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</si>
  <si>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</si>
  <si>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</si>
  <si>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</si>
  <si>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</si>
  <si>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</si>
  <si>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</si>
  <si>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</si>
  <si>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</si>
  <si>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</si>
  <si>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</si>
  <si>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</si>
  <si>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</si>
  <si>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</si>
  <si>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</si>
  <si>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</si>
  <si>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</si>
  <si>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</si>
  <si>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</si>
  <si>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</si>
  <si>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</si>
  <si>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</si>
  <si>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</si>
  <si>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</si>
  <si>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</si>
  <si>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</si>
  <si>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</si>
  <si>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</si>
  <si>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</si>
  <si>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</si>
  <si>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</si>
  <si>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</si>
  <si>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</si>
  <si>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</si>
  <si>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</si>
  <si>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</si>
  <si>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</si>
  <si>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</si>
  <si>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</si>
  <si>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</si>
  <si>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</si>
  <si>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</si>
  <si>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</si>
  <si>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</si>
  <si>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</si>
  <si>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</si>
  <si>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</si>
  <si>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</si>
  <si>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</si>
  <si>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</si>
  <si>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</si>
  <si>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</si>
  <si>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</si>
  <si>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</si>
  <si>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</si>
  <si>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</si>
  <si>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</si>
  <si>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</si>
  <si>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</si>
  <si>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</si>
  <si>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</si>
  <si>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</si>
  <si>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</si>
  <si>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</si>
  <si>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</si>
  <si>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</si>
  <si>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</si>
  <si>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</si>
  <si>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</si>
  <si>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</si>
  <si>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</si>
  <si>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</si>
  <si>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</si>
  <si>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</si>
  <si>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</si>
  <si>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</si>
  <si>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</si>
  <si>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</si>
  <si>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</si>
  <si>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</si>
  <si>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</si>
  <si>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</si>
  <si>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</si>
  <si>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</si>
  <si>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</si>
  <si>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</si>
  <si>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</si>
  <si>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</si>
  <si>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</si>
  <si>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</si>
  <si>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</si>
  <si>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</si>
  <si>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</si>
  <si>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</si>
  <si>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</si>
  <si>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</si>
  <si>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</si>
  <si>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</si>
  <si>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</si>
  <si>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</si>
  <si>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</si>
  <si>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</si>
  <si>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</si>
  <si>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</si>
  <si>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</si>
  <si>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</si>
  <si>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</si>
  <si>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</si>
  <si>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</si>
  <si>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</si>
  <si>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</si>
  <si>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</si>
  <si>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</si>
  <si>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</si>
  <si>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</si>
  <si>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</si>
  <si>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</si>
  <si>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</si>
  <si>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</si>
  <si>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</si>
  <si>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</si>
  <si>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</si>
  <si>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</si>
  <si>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</si>
  <si>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</si>
  <si>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</si>
  <si>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</si>
  <si>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</si>
  <si>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</si>
  <si>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</si>
  <si>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</si>
  <si>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</si>
  <si>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</si>
  <si>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</si>
  <si>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</si>
  <si>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</si>
  <si>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</si>
  <si>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</si>
  <si>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</si>
  <si>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</si>
  <si>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</si>
  <si>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</si>
  <si>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</si>
  <si>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</si>
  <si>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</si>
  <si>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</si>
  <si>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</si>
  <si>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</si>
  <si>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</si>
  <si>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</si>
  <si>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</si>
  <si>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</si>
  <si>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</si>
  <si>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</si>
  <si>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</si>
  <si>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</si>
  <si>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</si>
  <si>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</si>
  <si>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</si>
  <si>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</si>
  <si>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</si>
  <si>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</si>
  <si>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</si>
  <si>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</si>
  <si>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</si>
  <si>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</si>
  <si>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</si>
  <si>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</si>
  <si>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</si>
  <si>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</si>
  <si>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</si>
  <si>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</si>
  <si>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</si>
  <si>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</si>
  <si>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</si>
  <si>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</si>
  <si>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</si>
  <si>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</si>
  <si>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</si>
  <si>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</si>
  <si>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</si>
  <si>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</si>
  <si>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</si>
  <si>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</si>
  <si>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</si>
  <si>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</si>
  <si>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</si>
  <si>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</si>
  <si>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</si>
  <si>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</si>
  <si>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</si>
  <si>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</si>
  <si>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</si>
  <si>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</si>
  <si>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</si>
  <si>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</si>
  <si>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</si>
  <si>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</si>
  <si>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</si>
  <si>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</si>
  <si>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</si>
  <si>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</si>
  <si>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</si>
  <si>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</si>
  <si>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</si>
  <si>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</si>
  <si>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</si>
  <si>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</si>
  <si>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</si>
  <si>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</si>
  <si>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</si>
  <si>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</si>
  <si>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</si>
  <si>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</si>
  <si>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</si>
  <si>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</si>
  <si>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</si>
  <si>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</si>
  <si>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</si>
  <si>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</si>
  <si>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</si>
  <si>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</si>
  <si>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</si>
  <si>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</si>
  <si>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</si>
  <si>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</si>
  <si>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</si>
  <si>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</si>
  <si>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</si>
  <si>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</si>
  <si>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</si>
  <si>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</si>
  <si>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</si>
  <si>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</si>
  <si>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</si>
  <si>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</si>
  <si>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</si>
  <si>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</si>
  <si>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</si>
  <si>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</si>
  <si>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</si>
  <si>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</si>
  <si>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</si>
  <si>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</si>
  <si>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</si>
  <si>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</si>
  <si>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</si>
  <si>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</si>
  <si>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</si>
  <si>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</si>
  <si>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</si>
  <si>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</si>
  <si>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</si>
  <si>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</si>
  <si>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</si>
  <si>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</si>
  <si>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</si>
  <si>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</si>
  <si>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</si>
  <si>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</si>
  <si>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</si>
  <si>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</si>
  <si>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</si>
  <si>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</si>
  <si>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</si>
  <si>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</si>
  <si>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</si>
  <si>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</si>
  <si>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</si>
  <si>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</si>
  <si>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</si>
  <si>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</si>
  <si>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</si>
  <si>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</si>
  <si>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</si>
  <si>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</si>
  <si>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</si>
  <si>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</si>
  <si>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</si>
  <si>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</si>
  <si>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</si>
  <si>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</si>
  <si>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</si>
  <si>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</si>
  <si>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</si>
  <si>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</si>
  <si>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</si>
  <si>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</si>
  <si>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</si>
  <si>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</si>
  <si>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</si>
  <si>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</si>
  <si>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</si>
  <si>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</si>
  <si>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</si>
  <si>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</si>
  <si>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</si>
  <si>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</si>
  <si>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</si>
  <si>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</si>
  <si>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</si>
  <si>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</si>
  <si>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</si>
  <si>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</si>
  <si>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</si>
  <si>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</si>
  <si>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</si>
  <si>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</si>
  <si>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</si>
  <si>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</si>
  <si>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</si>
  <si>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</si>
  <si>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</si>
  <si>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</si>
  <si>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</si>
  <si>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</si>
  <si>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</si>
  <si>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</si>
  <si>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</si>
  <si>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</si>
  <si>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</si>
  <si>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</si>
  <si>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</si>
  <si>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</si>
  <si>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</si>
  <si>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</si>
  <si>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</si>
  <si>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</si>
  <si>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</si>
  <si>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</si>
  <si>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</si>
  <si>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</si>
  <si>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</si>
  <si>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</si>
  <si>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</si>
  <si>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</si>
  <si>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</si>
  <si>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</si>
  <si>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</si>
  <si>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</si>
  <si>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</si>
  <si>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</si>
  <si>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</si>
  <si>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</si>
  <si>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</si>
  <si>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</si>
  <si>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</si>
  <si>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</si>
  <si>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</si>
  <si>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</si>
  <si>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</si>
  <si>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</si>
  <si>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</si>
  <si>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</si>
  <si>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</si>
  <si>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</si>
  <si>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</si>
  <si>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</si>
  <si>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</si>
  <si>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</si>
  <si>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</si>
  <si>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</si>
  <si>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</si>
  <si>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</si>
  <si>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</si>
  <si>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</si>
  <si>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</si>
  <si>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</si>
  <si>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</si>
  <si>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</si>
  <si>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</si>
  <si>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</si>
  <si>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</si>
  <si>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</si>
  <si>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</si>
  <si>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</si>
  <si>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</si>
  <si>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</si>
  <si>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</si>
  <si>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</si>
  <si>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</si>
  <si>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</si>
  <si>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</si>
  <si>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</si>
  <si>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</si>
  <si>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</si>
  <si>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</si>
  <si>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</si>
  <si>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</si>
  <si>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</si>
  <si>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</si>
  <si>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</si>
  <si>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</si>
  <si>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</si>
  <si>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</si>
  <si>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</si>
  <si>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</si>
  <si>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</si>
  <si>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</si>
  <si>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</si>
  <si>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</si>
  <si>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</si>
  <si>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</si>
  <si>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</si>
  <si>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</si>
  <si>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</si>
  <si>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</si>
  <si>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</si>
  <si>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</si>
  <si>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</si>
  <si>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</si>
  <si>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</si>
  <si>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</si>
  <si>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</si>
  <si>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</si>
  <si>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</si>
  <si>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</si>
  <si>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</si>
  <si>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</si>
  <si>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</si>
  <si>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</si>
  <si>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</si>
  <si>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</si>
  <si>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</si>
  <si>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</si>
  <si>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</si>
  <si>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</si>
  <si>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</si>
  <si>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</si>
  <si>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</si>
  <si>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</si>
  <si>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</si>
  <si>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</si>
  <si>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</si>
  <si>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</si>
  <si>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</si>
  <si>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</si>
  <si>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</si>
  <si>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</si>
  <si>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</si>
  <si>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</si>
  <si>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</si>
  <si>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</si>
  <si>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</si>
  <si>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</si>
  <si>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</si>
  <si>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</si>
  <si>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</si>
  <si>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</si>
  <si>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</si>
  <si>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</si>
  <si>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</si>
  <si>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</si>
  <si>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</si>
  <si>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</si>
  <si>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</si>
  <si>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</si>
  <si>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</si>
  <si>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</si>
  <si>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</si>
  <si>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</si>
  <si>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</si>
  <si>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</si>
  <si>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</si>
  <si>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</si>
  <si>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</si>
  <si>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</si>
  <si>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</si>
  <si>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</si>
  <si>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</si>
  <si>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</si>
  <si>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</si>
  <si>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</si>
  <si>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</si>
  <si>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</si>
  <si>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</si>
  <si>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</si>
  <si>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</si>
  <si>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</si>
  <si>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</si>
  <si>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</si>
  <si>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</si>
  <si>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</si>
  <si>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</si>
  <si>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</si>
  <si>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</si>
  <si>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</si>
  <si>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</si>
  <si>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</si>
  <si>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</si>
  <si>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</si>
  <si>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</si>
  <si>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</si>
  <si>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</si>
  <si>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</si>
  <si>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</si>
  <si>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</si>
  <si>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</si>
  <si>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</si>
  <si>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</si>
  <si>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</si>
  <si>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</si>
  <si>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</si>
  <si>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</si>
  <si>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</si>
  <si>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</si>
  <si>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</si>
  <si>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</si>
  <si>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</si>
  <si>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</si>
  <si>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</si>
  <si>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</si>
  <si>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</si>
  <si>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</si>
  <si>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</si>
  <si>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</si>
  <si>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</si>
  <si>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</si>
  <si>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</si>
  <si>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</si>
  <si>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</si>
  <si>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</si>
  <si>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</si>
  <si>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</si>
  <si>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</si>
  <si>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</si>
  <si>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</si>
  <si>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</si>
  <si>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</si>
  <si>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</si>
  <si>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</si>
  <si>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</si>
  <si>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</si>
  <si>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</si>
  <si>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</si>
  <si>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</si>
  <si>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</si>
  <si>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</si>
  <si>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</si>
  <si>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</si>
  <si>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</si>
  <si>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</si>
  <si>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</si>
  <si>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</si>
  <si>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</si>
  <si>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</si>
  <si>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</si>
  <si>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</si>
  <si>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</si>
  <si>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</si>
  <si>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</si>
  <si>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</si>
  <si>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</si>
  <si>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</si>
  <si>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</si>
  <si>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</si>
  <si>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</si>
  <si>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</si>
  <si>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</si>
  <si>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</si>
  <si>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</si>
  <si>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</si>
  <si>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</si>
  <si>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</si>
  <si>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</si>
  <si>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</si>
  <si>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</si>
  <si>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</si>
  <si>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</si>
  <si>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</si>
  <si>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</si>
  <si>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</si>
  <si>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</si>
  <si>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</si>
  <si>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</si>
  <si>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</si>
  <si>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</si>
  <si>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</si>
  <si>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</si>
  <si>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</si>
  <si>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</si>
  <si>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</si>
  <si>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</si>
  <si>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</si>
  <si>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</si>
  <si>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</si>
  <si>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</si>
  <si>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</si>
  <si>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</si>
  <si>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</si>
  <si>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</si>
  <si>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</si>
  <si>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</si>
  <si>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</si>
  <si>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</si>
  <si>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</si>
  <si>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</si>
  <si>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</si>
  <si>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</si>
  <si>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</si>
  <si>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</si>
  <si>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</si>
  <si>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</si>
  <si>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</si>
  <si>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</si>
  <si>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</si>
  <si>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</si>
  <si>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</si>
  <si>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</si>
  <si>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</si>
  <si>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</si>
  <si>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</si>
  <si>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</si>
  <si>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</si>
  <si>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</si>
  <si>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</si>
  <si>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</si>
  <si>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</si>
  <si>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</si>
  <si>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</si>
  <si>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</si>
  <si>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</si>
  <si>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</si>
  <si>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</si>
  <si>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</si>
  <si>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</si>
  <si>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</si>
  <si>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</si>
  <si>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</si>
  <si>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</si>
  <si>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</si>
  <si>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</si>
  <si>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</si>
  <si>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</si>
  <si>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</si>
  <si>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</si>
  <si>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</si>
  <si>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</si>
  <si>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</si>
  <si>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</si>
  <si>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</si>
  <si>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</si>
  <si>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</si>
  <si>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</si>
  <si>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</si>
  <si>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</si>
  <si>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</si>
  <si>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</si>
  <si>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</si>
  <si>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</si>
  <si>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</si>
  <si>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</si>
  <si>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</si>
  <si>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</si>
  <si>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</si>
  <si>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</si>
  <si>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</si>
  <si>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</si>
  <si>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</si>
  <si>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</si>
  <si>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</si>
  <si>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</si>
  <si>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</si>
  <si>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</si>
  <si>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</si>
  <si>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</si>
  <si>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</si>
  <si>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</si>
  <si>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</si>
  <si>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</si>
  <si>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</si>
  <si>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</si>
  <si>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</si>
  <si>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</si>
  <si>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</si>
  <si>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</si>
  <si>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</si>
  <si>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</si>
  <si>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</si>
  <si>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</si>
  <si>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</si>
  <si>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</si>
  <si>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</si>
  <si>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</si>
  <si>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</si>
  <si>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</si>
  <si>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</si>
  <si>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</si>
  <si>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</si>
  <si>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</si>
  <si>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</si>
  <si>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</si>
  <si>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</si>
  <si>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</si>
  <si>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</si>
  <si>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</si>
  <si>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</si>
  <si>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</si>
  <si>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</si>
  <si>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</si>
  <si>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</si>
  <si>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</si>
  <si>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</si>
  <si>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</si>
  <si>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</si>
  <si>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</si>
  <si>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</si>
  <si>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</si>
  <si>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</si>
  <si>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</si>
  <si>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</si>
  <si>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</si>
  <si>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</si>
  <si>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</si>
  <si>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</si>
  <si>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</si>
  <si>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</si>
  <si>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</si>
  <si>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</si>
  <si>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</si>
  <si>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</si>
  <si>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</si>
  <si>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</si>
  <si>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</si>
  <si>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</si>
  <si>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</si>
  <si>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</si>
  <si>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</si>
  <si>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</si>
  <si>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</si>
  <si>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</si>
  <si>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</si>
  <si>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</si>
  <si>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</si>
  <si>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</si>
  <si>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</si>
  <si>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</si>
  <si>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</si>
  <si>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</si>
  <si>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</si>
  <si>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</si>
  <si>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</si>
  <si>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</si>
  <si>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</si>
  <si>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</si>
  <si>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</si>
  <si>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</si>
  <si>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</si>
  <si>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</si>
  <si>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</si>
  <si>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</si>
  <si>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</si>
  <si>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</si>
  <si>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</si>
  <si>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</si>
  <si>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</si>
  <si>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</si>
  <si>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</si>
  <si>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</si>
  <si>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</si>
  <si>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</si>
  <si>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</si>
  <si>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</si>
  <si>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</si>
  <si>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</si>
  <si>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</si>
  <si>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</si>
  <si>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</si>
  <si>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</si>
  <si>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</si>
  <si>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</si>
  <si>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</si>
  <si>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</si>
  <si>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</si>
  <si>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</si>
  <si>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</si>
  <si>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</si>
  <si>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</si>
  <si>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</si>
  <si>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</si>
  <si>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</si>
  <si>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</si>
  <si>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</si>
  <si>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</si>
  <si>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</si>
  <si>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</si>
  <si>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</si>
  <si>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</si>
  <si>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</si>
  <si>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</si>
  <si>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</si>
  <si>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</si>
  <si>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</si>
  <si>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</si>
  <si>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</si>
  <si>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</si>
  <si>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</si>
  <si>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</si>
  <si>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</si>
  <si>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</si>
  <si>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</si>
  <si>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</si>
  <si>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</si>
  <si>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</si>
  <si>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</si>
  <si>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</si>
  <si>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</si>
  <si>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</si>
  <si>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</si>
  <si>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</si>
  <si>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</si>
  <si>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</si>
  <si>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</si>
  <si>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</si>
  <si>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</si>
  <si>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</si>
  <si>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</si>
  <si>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</si>
  <si>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</si>
  <si>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</si>
  <si>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</si>
  <si>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</si>
  <si>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</si>
  <si>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</si>
  <si>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</si>
  <si>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</si>
  <si>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</si>
  <si>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</si>
  <si>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</si>
  <si>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</si>
  <si>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</si>
  <si>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</si>
  <si>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</si>
  <si>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</si>
  <si>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</si>
  <si>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</si>
  <si>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</si>
  <si>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</si>
  <si>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</si>
  <si>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</si>
  <si>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</si>
  <si>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</si>
  <si>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</si>
  <si>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</si>
  <si>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</si>
  <si>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</si>
  <si>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</si>
  <si>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</si>
  <si>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</si>
  <si>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</si>
  <si>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</si>
  <si>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</si>
  <si>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</si>
  <si>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</si>
  <si>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</si>
  <si>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</si>
  <si>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</si>
  <si>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</si>
  <si>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</si>
  <si>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</si>
  <si>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</si>
  <si>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</si>
  <si>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</si>
  <si>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</si>
  <si>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</si>
  <si>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</si>
  <si>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</si>
  <si>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</si>
  <si>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</si>
  <si>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</si>
  <si>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</si>
  <si>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</si>
  <si>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</si>
  <si>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</si>
  <si>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</si>
  <si>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</si>
  <si>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</si>
  <si>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</si>
  <si>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</si>
  <si>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</si>
  <si>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</si>
  <si>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</si>
  <si>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</si>
  <si>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</si>
  <si>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</si>
  <si>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</si>
  <si>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</si>
  <si>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</si>
  <si>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</si>
  <si>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</si>
  <si>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</si>
  <si>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</si>
  <si>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</si>
  <si>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</si>
  <si>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</si>
  <si>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</si>
  <si>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</si>
  <si>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</si>
  <si>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</si>
  <si>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</si>
  <si>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</si>
  <si>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</si>
  <si>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</si>
  <si>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</si>
  <si>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</si>
  <si>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</si>
  <si>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</si>
  <si>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</si>
  <si>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</si>
  <si>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</si>
  <si>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</si>
  <si>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</si>
  <si>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</si>
  <si>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</si>
  <si>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</si>
  <si>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</si>
  <si>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</si>
  <si>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</si>
  <si>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</si>
  <si>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</si>
  <si>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</si>
  <si>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</si>
  <si>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</si>
  <si>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</si>
  <si>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</si>
  <si>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</si>
  <si>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</si>
  <si>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</si>
  <si>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</si>
  <si>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</si>
  <si>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</si>
  <si>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</si>
  <si>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</si>
  <si>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</si>
  <si>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</si>
  <si>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</si>
  <si>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</si>
  <si>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</si>
  <si>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</si>
  <si>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</si>
  <si>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</si>
  <si>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</si>
  <si>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</si>
  <si>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</si>
  <si>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</si>
  <si>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</si>
  <si>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</si>
  <si>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</si>
  <si>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</si>
  <si>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</si>
  <si>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</si>
  <si>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</si>
  <si>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</si>
  <si>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</si>
  <si>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</si>
  <si>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</si>
  <si>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</si>
  <si>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</si>
  <si>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</si>
  <si>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</si>
  <si>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</si>
  <si>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</si>
  <si>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</si>
  <si>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</si>
  <si>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</si>
  <si>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</si>
  <si>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</si>
  <si>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</si>
  <si>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</si>
  <si>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</si>
  <si>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</si>
  <si>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</si>
  <si>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</si>
  <si>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</si>
  <si>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</si>
  <si>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</si>
  <si>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</si>
  <si>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</si>
  <si>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</si>
  <si>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</si>
  <si>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</si>
  <si>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</si>
  <si>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</si>
  <si>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</si>
  <si>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</si>
  <si>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</si>
  <si>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</si>
  <si>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</si>
  <si>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</si>
  <si>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</si>
  <si>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</si>
  <si>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</si>
  <si>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</si>
  <si>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</si>
  <si>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</si>
  <si>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</si>
  <si>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</si>
  <si>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</si>
  <si>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</si>
  <si>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</si>
  <si>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</si>
  <si>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</si>
  <si>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</si>
  <si>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</si>
  <si>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</si>
  <si>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</si>
  <si>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</si>
  <si>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</si>
  <si>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</si>
  <si>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</si>
  <si>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</si>
  <si>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</si>
  <si>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</si>
  <si>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</si>
  <si>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</si>
  <si>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</si>
  <si>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</si>
  <si>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</si>
  <si>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</si>
  <si>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</si>
  <si>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</si>
  <si>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</si>
  <si>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</si>
  <si>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</si>
  <si>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</si>
  <si>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</si>
  <si>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</si>
  <si>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</si>
  <si>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</si>
  <si>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</si>
  <si>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</si>
  <si>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</si>
  <si>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</si>
  <si>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</si>
  <si>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</si>
  <si>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</si>
  <si>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</si>
  <si>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</si>
  <si>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</si>
  <si>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</si>
  <si>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</si>
  <si>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</si>
  <si>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</si>
  <si>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</si>
  <si>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</si>
  <si>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</si>
  <si>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</si>
  <si>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</si>
  <si>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</si>
  <si>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</si>
  <si>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</si>
  <si>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</si>
  <si>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</si>
  <si>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</si>
  <si>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</si>
  <si>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</si>
  <si>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</si>
  <si>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</si>
  <si>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</si>
  <si>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</si>
  <si>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</si>
  <si>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</si>
  <si>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</si>
  <si>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</si>
  <si>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</si>
  <si>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</si>
  <si>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</si>
  <si>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</si>
  <si>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</si>
  <si>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</si>
  <si>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</si>
  <si>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</si>
  <si>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</si>
  <si>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</si>
  <si>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</si>
  <si>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</si>
  <si>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</si>
  <si>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</si>
  <si>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</si>
  <si>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</si>
  <si>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</si>
  <si>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</si>
  <si>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</si>
  <si>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</si>
  <si>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</si>
  <si>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</si>
  <si>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</si>
  <si>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</si>
  <si>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</si>
  <si>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</si>
  <si>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</si>
  <si>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</si>
  <si>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</si>
  <si>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</si>
  <si>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</si>
  <si>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</si>
  <si>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</si>
  <si>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</si>
  <si>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</si>
  <si>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</si>
  <si>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</si>
  <si>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</si>
  <si>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</si>
  <si>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</si>
  <si>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</si>
  <si>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</si>
  <si>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</si>
  <si>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</si>
  <si>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</si>
  <si>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</si>
  <si>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</si>
  <si>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</si>
  <si>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</si>
  <si>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</si>
  <si>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</si>
  <si>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</si>
  <si>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</si>
  <si>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</si>
  <si>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</si>
  <si>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</si>
  <si>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</si>
  <si>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</si>
  <si>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</si>
  <si>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</si>
  <si>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</si>
  <si>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</si>
  <si>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</si>
  <si>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</si>
  <si>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</si>
  <si>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</si>
  <si>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</si>
  <si>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</si>
  <si>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</si>
  <si>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</si>
  <si>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</si>
  <si>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</si>
  <si>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</si>
  <si>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</si>
  <si>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</si>
  <si>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</si>
  <si>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</si>
  <si>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</si>
  <si>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</si>
  <si>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</si>
  <si>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</si>
  <si>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</si>
  <si>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</si>
  <si>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</si>
  <si>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</si>
  <si>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</si>
  <si>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</si>
  <si>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</si>
  <si>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</si>
  <si>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</si>
  <si>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</si>
  <si>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</si>
  <si>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</si>
  <si>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</si>
  <si>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</si>
  <si>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</si>
  <si>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</si>
  <si>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</si>
  <si>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</si>
  <si>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</si>
  <si>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</si>
  <si>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</si>
  <si>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</si>
  <si>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</si>
  <si>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</si>
  <si>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</si>
  <si>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</si>
  <si>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</si>
  <si>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</si>
  <si>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</si>
  <si>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</si>
  <si>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</si>
  <si>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</si>
  <si>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</si>
  <si>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</si>
  <si>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</si>
  <si>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</si>
  <si>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</si>
  <si>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</si>
  <si>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</si>
  <si>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</si>
  <si>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</si>
  <si>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</si>
  <si>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</si>
  <si>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</si>
  <si>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</si>
  <si>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</si>
  <si>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</si>
  <si>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</si>
  <si>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</si>
  <si>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</si>
  <si>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</si>
  <si>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</si>
  <si>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</si>
  <si>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</si>
  <si>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</si>
  <si>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</si>
  <si>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</si>
  <si>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</si>
  <si>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</si>
  <si>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</si>
  <si>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</si>
  <si>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</si>
  <si>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</si>
  <si>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</si>
  <si>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</si>
  <si>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</si>
  <si>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</si>
  <si>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</si>
  <si>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</si>
  <si>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</si>
  <si>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</si>
  <si>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</si>
  <si>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</si>
  <si>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</si>
  <si>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</si>
  <si>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</si>
  <si>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</si>
  <si>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</si>
  <si>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</si>
  <si>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</si>
  <si>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</si>
  <si>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</si>
  <si>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</si>
  <si>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</si>
  <si>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</si>
  <si>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</si>
  <si>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</si>
  <si>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</si>
  <si>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</si>
  <si>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</si>
  <si>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</si>
  <si>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</si>
  <si>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</si>
  <si>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</si>
  <si>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</si>
  <si>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</si>
  <si>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</si>
  <si>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</si>
  <si>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</si>
  <si>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</si>
  <si>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</si>
  <si>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</si>
  <si>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</si>
  <si>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</si>
  <si>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</si>
  <si>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</si>
  <si>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</si>
  <si>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</si>
  <si>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</si>
  <si>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</si>
  <si>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</si>
  <si>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</si>
  <si>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</si>
  <si>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</si>
  <si>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</si>
  <si>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</si>
  <si>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</si>
  <si>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</si>
  <si>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</si>
  <si>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</si>
  <si>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</si>
  <si>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</si>
  <si>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</si>
  <si>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</si>
  <si>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</si>
  <si>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</si>
  <si>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</si>
  <si>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</si>
  <si>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</si>
  <si>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</si>
  <si>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</si>
  <si>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</si>
  <si>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</si>
  <si>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</si>
  <si>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</si>
  <si>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</si>
  <si>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</si>
  <si>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</si>
  <si>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</si>
  <si>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</si>
  <si>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</si>
  <si>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</si>
  <si>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</si>
  <si>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</si>
  <si>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</si>
  <si>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</si>
  <si>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</si>
  <si>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</si>
  <si>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</si>
  <si>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</si>
  <si>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</si>
  <si>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</si>
  <si>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</si>
  <si>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</si>
  <si>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</si>
  <si>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</si>
  <si>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</si>
  <si>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</si>
  <si>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</si>
  <si>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</si>
  <si>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</si>
  <si>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</si>
  <si>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</si>
  <si>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</si>
  <si>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</si>
  <si>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</si>
  <si>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</si>
  <si>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</si>
  <si>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</si>
  <si>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</si>
  <si>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</si>
  <si>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</si>
  <si>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</si>
  <si>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</si>
  <si>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</si>
  <si>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</si>
  <si>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</si>
  <si>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</si>
  <si>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</si>
  <si>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</si>
  <si>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</si>
  <si>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</si>
  <si>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</si>
  <si>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</si>
  <si>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</si>
  <si>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</si>
  <si>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</si>
  <si>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</si>
  <si>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</si>
  <si>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</si>
  <si>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</si>
  <si>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</si>
  <si>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</si>
  <si>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</si>
  <si>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</si>
  <si>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</si>
  <si>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</si>
  <si>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</si>
  <si>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</si>
  <si>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</si>
  <si>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</si>
  <si>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</si>
  <si>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</si>
  <si>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</si>
  <si>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</si>
  <si>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</si>
  <si>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</si>
  <si>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</si>
  <si>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</si>
  <si>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</si>
  <si>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</si>
  <si>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</si>
  <si>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</si>
  <si>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</si>
  <si>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</si>
  <si>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</si>
  <si>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</si>
  <si>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</si>
  <si>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</si>
  <si>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</si>
  <si>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</si>
  <si>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</si>
  <si>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</si>
  <si>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</si>
  <si>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</si>
  <si>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</si>
  <si>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</si>
  <si>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</si>
  <si>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</si>
  <si>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</si>
  <si>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</si>
  <si>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</si>
  <si>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</si>
  <si>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</si>
  <si>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</si>
  <si>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</si>
  <si>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</si>
  <si>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</si>
  <si>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</si>
  <si>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</si>
  <si>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</si>
  <si>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</si>
  <si>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</si>
  <si>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</si>
  <si>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</si>
  <si>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</si>
  <si>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</si>
  <si>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</si>
  <si>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</si>
  <si>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</si>
  <si>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</si>
  <si>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</si>
  <si>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</si>
  <si>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</si>
  <si>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</si>
  <si>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</si>
  <si>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</si>
  <si>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</si>
  <si>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</si>
  <si>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</si>
  <si>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</si>
  <si>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</si>
  <si>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</si>
  <si>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</si>
  <si>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</si>
  <si>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</si>
  <si>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</si>
  <si>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</si>
  <si>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</si>
  <si>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</si>
  <si>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</si>
  <si>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</si>
  <si>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</si>
  <si>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</si>
  <si>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</si>
  <si>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</si>
  <si>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</si>
  <si>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</si>
  <si>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</si>
  <si>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</si>
  <si>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</si>
  <si>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</si>
  <si>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</si>
  <si>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</si>
  <si>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</si>
  <si>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</si>
  <si>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</si>
  <si>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</si>
  <si>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</si>
  <si>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</si>
  <si>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</si>
  <si>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</si>
  <si>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</si>
  <si>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</si>
  <si>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</si>
  <si>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</si>
  <si>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</si>
  <si>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</si>
  <si>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</si>
  <si>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</si>
  <si>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</si>
  <si>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</si>
  <si>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</si>
  <si>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</si>
  <si>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</si>
  <si>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</si>
  <si>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</si>
  <si>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</si>
  <si>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</si>
  <si>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</si>
  <si>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</si>
  <si>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</si>
  <si>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</si>
  <si>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</si>
  <si>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</si>
  <si>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</si>
  <si>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</si>
  <si>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</si>
  <si>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</si>
  <si>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</si>
  <si>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</si>
  <si>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</si>
  <si>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</si>
  <si>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</si>
  <si>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</si>
  <si>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</si>
  <si>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</si>
  <si>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</si>
  <si>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</si>
  <si>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</si>
  <si>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</si>
  <si>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</si>
  <si>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</si>
  <si>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</si>
  <si>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</si>
  <si>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</si>
  <si>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</si>
  <si>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</si>
  <si>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</si>
  <si>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</si>
  <si>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</si>
  <si>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</si>
  <si>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</si>
  <si>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</si>
  <si>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</si>
  <si>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</si>
  <si>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</si>
  <si>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</si>
  <si>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</si>
  <si>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</si>
  <si>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</si>
  <si>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</si>
  <si>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</si>
  <si>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</si>
  <si>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</si>
  <si>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</si>
  <si>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</si>
  <si>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</si>
  <si>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</si>
  <si>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</si>
  <si>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</si>
  <si>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</si>
  <si>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</si>
  <si>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</si>
  <si>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</si>
  <si>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</si>
  <si>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</si>
  <si>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</si>
  <si>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</si>
  <si>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</si>
  <si>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</si>
  <si>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</si>
  <si>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</si>
  <si>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</si>
  <si>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</si>
  <si>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</si>
  <si>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</si>
  <si>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</si>
  <si>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</si>
  <si>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</si>
  <si>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</si>
  <si>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</si>
  <si>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</si>
  <si>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</si>
  <si>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</si>
  <si>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</si>
  <si>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</si>
  <si>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</si>
  <si>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</si>
  <si>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</si>
  <si>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</si>
  <si>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</si>
  <si>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</si>
  <si>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</si>
  <si>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</si>
  <si>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</si>
  <si>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</si>
  <si>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</si>
  <si>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</si>
  <si>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</si>
  <si>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</si>
  <si>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</si>
  <si>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</si>
  <si>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</si>
  <si>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</si>
  <si>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</si>
  <si>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</si>
  <si>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</si>
  <si>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</si>
  <si>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</si>
  <si>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</si>
  <si>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</si>
  <si>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</si>
  <si>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</si>
  <si>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</si>
  <si>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</si>
  <si>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</si>
  <si>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</si>
  <si>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</si>
  <si>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</si>
  <si>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</si>
  <si>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</si>
  <si>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</si>
  <si>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</si>
  <si>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</si>
  <si>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</si>
  <si>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</si>
  <si>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</si>
  <si>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</si>
  <si>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</si>
  <si>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</si>
  <si>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</si>
  <si>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</si>
  <si>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</si>
  <si>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</si>
  <si>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</si>
  <si>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</si>
  <si>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</si>
  <si>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</si>
  <si>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</si>
  <si>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</si>
  <si>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</si>
  <si>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</si>
  <si>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</si>
  <si>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</si>
  <si>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</si>
  <si>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</si>
  <si>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</si>
  <si>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</si>
  <si>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</si>
  <si>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</si>
  <si>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</si>
  <si>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</si>
  <si>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</si>
  <si>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</si>
  <si>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</si>
  <si>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</si>
  <si>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</si>
  <si>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</si>
  <si>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</si>
  <si>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</si>
  <si>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</si>
  <si>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</si>
  <si>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</si>
  <si>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</si>
  <si>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</si>
  <si>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</si>
  <si>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</si>
  <si>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</si>
  <si>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</si>
  <si>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</si>
  <si>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</si>
  <si>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</si>
  <si>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</si>
  <si>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</si>
  <si>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</si>
  <si>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</si>
  <si>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</si>
  <si>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</si>
  <si>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</si>
  <si>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</si>
  <si>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</si>
  <si>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</si>
  <si>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</si>
  <si>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</si>
  <si>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</si>
  <si>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</si>
  <si>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</si>
  <si>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</si>
  <si>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</si>
  <si>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</si>
  <si>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</si>
  <si>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</si>
  <si>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</si>
  <si>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</si>
  <si>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</si>
  <si>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</si>
  <si>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</si>
  <si>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</si>
  <si>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</si>
  <si>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</si>
  <si>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</si>
  <si>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</si>
  <si>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</si>
  <si>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</si>
  <si>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</si>
  <si>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</si>
  <si>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</si>
  <si>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</si>
  <si>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</si>
  <si>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</si>
  <si>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</si>
  <si>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</si>
  <si>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</si>
  <si>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</si>
  <si>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</si>
  <si>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</si>
  <si>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</si>
  <si>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</si>
  <si>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</si>
  <si>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</si>
  <si>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</si>
  <si>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</si>
  <si>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</si>
  <si>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</si>
  <si>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</si>
  <si>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</si>
  <si>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</si>
  <si>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</si>
  <si>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</si>
  <si>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</si>
  <si>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</si>
  <si>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</si>
  <si>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</si>
  <si>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</si>
  <si>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</si>
  <si>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</si>
  <si>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</si>
  <si>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</si>
  <si>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</si>
  <si>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</si>
  <si>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</si>
  <si>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</si>
  <si>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</si>
  <si>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</si>
  <si>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</si>
  <si>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</si>
  <si>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</si>
  <si>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</si>
  <si>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</si>
  <si>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</si>
  <si>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</si>
  <si>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</si>
  <si>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</si>
  <si>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</si>
  <si>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</si>
  <si>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</si>
  <si>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</si>
  <si>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</si>
  <si>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</si>
  <si>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</si>
  <si>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</si>
  <si>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</si>
  <si>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</si>
  <si>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</si>
  <si>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</si>
  <si>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</si>
  <si>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</si>
  <si>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</si>
  <si>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</si>
  <si>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</si>
  <si>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</si>
  <si>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</si>
  <si>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</si>
  <si>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</si>
  <si>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</si>
  <si>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</si>
  <si>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</si>
  <si>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</si>
  <si>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</si>
  <si>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</si>
  <si>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</si>
  <si>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</si>
  <si>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</si>
  <si>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</si>
  <si>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</si>
  <si>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</si>
  <si>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</si>
  <si>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</si>
  <si>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</si>
  <si>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</si>
  <si>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</si>
  <si>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</si>
  <si>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</si>
  <si>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</si>
  <si>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</si>
  <si>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</si>
  <si>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</si>
  <si>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</si>
  <si>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</si>
  <si>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</si>
  <si>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</si>
  <si>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</si>
  <si>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</si>
  <si>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</si>
  <si>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</si>
  <si>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</si>
  <si>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</si>
  <si>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</si>
  <si>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</si>
  <si>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</si>
  <si>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</si>
  <si>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</si>
  <si>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</si>
  <si>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</si>
  <si>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</si>
  <si>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</si>
  <si>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</si>
  <si>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</si>
  <si>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</si>
  <si>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</si>
  <si>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</si>
  <si>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</si>
  <si>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</si>
  <si>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</si>
  <si>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</si>
  <si>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</si>
  <si>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</si>
  <si>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</si>
  <si>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</si>
  <si>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</si>
  <si>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</si>
  <si>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</si>
  <si>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</si>
  <si>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</si>
  <si>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</si>
  <si>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</si>
  <si>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</si>
  <si>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</si>
  <si>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</si>
  <si>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</si>
  <si>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</si>
  <si>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</si>
  <si>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</si>
  <si>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</si>
  <si>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</si>
  <si>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</si>
  <si>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</si>
  <si>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</si>
  <si>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</si>
  <si>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</si>
  <si>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</si>
  <si>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</si>
  <si>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</si>
  <si>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</si>
  <si>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</si>
  <si>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</si>
  <si>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</si>
  <si>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</si>
  <si>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</si>
  <si>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</si>
  <si>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</si>
  <si>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</si>
  <si>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</si>
  <si>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</si>
  <si>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</si>
  <si>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</si>
  <si>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</si>
  <si>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</si>
  <si>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</si>
  <si>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</si>
  <si>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</si>
  <si>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</si>
  <si>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</si>
  <si>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</si>
  <si>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</si>
  <si>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</si>
  <si>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</si>
  <si>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</si>
  <si>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</si>
  <si>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</si>
  <si>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</si>
  <si>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</si>
  <si>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</si>
  <si>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</si>
  <si>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</si>
  <si>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</si>
  <si>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</si>
  <si>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</si>
  <si>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</si>
  <si>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</si>
  <si>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</si>
  <si>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</si>
  <si>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</si>
  <si>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</si>
  <si>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</si>
  <si>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</si>
  <si>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</si>
  <si>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</si>
  <si>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</si>
  <si>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</si>
  <si>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</si>
  <si>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</si>
  <si>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</si>
  <si>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</si>
  <si>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</si>
  <si>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</si>
  <si>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</si>
  <si>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</si>
  <si>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</si>
  <si>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</si>
  <si>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</si>
  <si>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</si>
  <si>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</si>
  <si>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</si>
  <si>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</si>
  <si>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</si>
  <si>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</si>
  <si>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</si>
  <si>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</si>
  <si>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</si>
  <si>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</si>
  <si>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</si>
  <si>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</si>
  <si>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</si>
  <si>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</si>
  <si>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</si>
  <si>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</si>
  <si>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</si>
  <si>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</si>
  <si>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</si>
  <si>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</si>
  <si>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</si>
  <si>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</si>
  <si>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</si>
  <si>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</si>
  <si>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</si>
  <si>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</si>
  <si>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</si>
  <si>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</si>
  <si>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</si>
  <si>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</si>
  <si>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</si>
  <si>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</si>
  <si>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</si>
  <si>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</si>
  <si>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</si>
  <si>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</si>
  <si>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</si>
  <si>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</si>
  <si>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</si>
  <si>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</si>
  <si>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</si>
  <si>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</si>
  <si>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</si>
  <si>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</si>
  <si>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</si>
  <si>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</si>
  <si>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</si>
  <si>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</si>
  <si>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</si>
  <si>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</si>
  <si>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</si>
  <si>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</si>
  <si>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</si>
  <si>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</si>
  <si>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</si>
  <si>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</si>
  <si>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</si>
  <si>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ST_new</t>
  </si>
  <si>
    <t>Gender_new</t>
  </si>
  <si>
    <t>Education_new</t>
  </si>
  <si>
    <t>Customer Lifetime Value_new</t>
  </si>
  <si>
    <t>Total Claim Amount_new</t>
  </si>
  <si>
    <t>00/01/1900</t>
  </si>
  <si>
    <t>Policy Type_new</t>
  </si>
  <si>
    <t>Número de puertas</t>
  </si>
  <si>
    <t>Duración garantía (años)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</si>
</sst>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0" fontId="3" fillId="0" borderId="0" xfId="0" applyFont="1"/>
    <xf numFmtId="14" fontId="4" fillId="0" borderId="0" xfId="0" applyNumberFormat="1" applyFont="1"/>
    <xf numFmtId="4" fontId="4" fillId="0" borderId="0" xfId="0" applyNumberFormat="1" applyFont="1"/>
    <xf numFmtId="14" fontId="0" fillId="0" borderId="0" xfId="0" applyNumberFormat="1" applyAlignment="1">
      <alignment horizontal="right"/>
    </xf>
    <xf numFmtId="3" fontId="4" fillId="0" borderId="0" xfId="0" applyNumberFormat="1" applyFont="1"/>
    <xf numFmtId="1" fontId="4" fillId="0" borderId="0" xfId="0" applyNumberFormat="1" applyFont="1"/>
    <xf numFmtId="0" fontId="0" fillId="2" borderId="0" xfId="0" applyFont="1" applyFill="1"/>
    <xf numFmtId="9" fontId="1" fillId="2" borderId="0" xfId="1" applyFont="1" applyFill="1"/>
    <xf numFmtId="14" fontId="0" fillId="2" borderId="0" xfId="0" applyNumberFormat="1" applyFont="1" applyFill="1"/>
    <xf numFmtId="0" fontId="3" fillId="2" borderId="0" xfId="0" applyFont="1" applyFill="1"/>
    <xf numFmtId="0" fontId="0" fillId="2" borderId="0" xfId="0" applyFill="1"/>
    <xf numFmtId="9" fontId="0" fillId="2" borderId="0" xfId="1" applyFont="1" applyFill="1"/>
    <xf numFmtId="14" fontId="0" fillId="2" borderId="0" xfId="0" applyNumberFormat="1" applyFill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tabSelected="1" zoomScale="80" zoomScaleNormal="80" workbookViewId="0">
      <selection activeCell="J9" sqref="J9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  <col min="13" max="13" width="10.90625" bestFit="1" customWidth="1"/>
    <col min="14" max="14" width="11.90625" bestFit="1" customWidth="1"/>
    <col min="15" max="15" width="18.81640625" bestFit="1" customWidth="1"/>
  </cols>
  <sheetData>
    <row r="1" spans="1:15" x14ac:dyDescent="0.3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3" t="s">
        <v>9188</v>
      </c>
      <c r="N1" s="13" t="s">
        <v>9189</v>
      </c>
      <c r="O1" s="13" t="s">
        <v>9190</v>
      </c>
    </row>
    <row r="2" spans="1:15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 t="str">
        <f>IF(OR(B2="Arizona",B2="AZ"),"Arizona",IF(OR(B2="California",B2="Cali"),"California",IF(B2="Nevada","Nevada",IF(B2="Oregon","Oregon",IF(OR(B2="Washington",B2="WA"),"Washington",B2)))))</f>
        <v>Washington</v>
      </c>
      <c r="N2" s="5" t="str">
        <f t="shared" ref="N2:N65" si="0">IF(OR(C2="F",C2="Femal",C2="female"),"F",IF(OR(C2="M",C2="Male"),"M","NA"))</f>
        <v>NA</v>
      </c>
      <c r="O2" s="5" t="str">
        <f t="shared" ref="O2:O65" si="1">IF(OR(D2="Bachelor",D2="Bachelors"),"Bachelor",D2)</f>
        <v>Master</v>
      </c>
    </row>
    <row r="3" spans="1:15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 t="str">
        <f t="shared" ref="M3:M66" si="2">IF(OR(B3="Arizona",B3="AZ"),"Arizona",IF(OR(B3="California",B3="Cali"),"California",IF(B3="Nevada","Nevada",IF(B3="Oregon","Oregon",IF(OR(B3="Washington",B3="WA"),"Washington",B3)))))</f>
        <v>Arizona</v>
      </c>
      <c r="N3" s="5" t="str">
        <f t="shared" si="0"/>
        <v>F</v>
      </c>
      <c r="O3" s="5" t="str">
        <f t="shared" si="1"/>
        <v>Bachelor</v>
      </c>
    </row>
    <row r="4" spans="1:15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 t="str">
        <f t="shared" si="2"/>
        <v>Nevada</v>
      </c>
      <c r="N4" s="5" t="str">
        <f t="shared" si="0"/>
        <v>F</v>
      </c>
      <c r="O4" s="5" t="str">
        <f t="shared" si="1"/>
        <v>Bachelor</v>
      </c>
    </row>
    <row r="5" spans="1:15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 t="str">
        <f t="shared" si="2"/>
        <v>California</v>
      </c>
      <c r="N5" s="5" t="str">
        <f t="shared" si="0"/>
        <v>M</v>
      </c>
      <c r="O5" s="5" t="str">
        <f t="shared" si="1"/>
        <v>Bachelor</v>
      </c>
    </row>
    <row r="6" spans="1:15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 t="str">
        <f t="shared" si="2"/>
        <v>Washington</v>
      </c>
      <c r="N6" s="5" t="str">
        <f t="shared" si="0"/>
        <v>M</v>
      </c>
      <c r="O6" s="5" t="str">
        <f t="shared" si="1"/>
        <v>High School or Below</v>
      </c>
    </row>
    <row r="7" spans="1:15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 t="str">
        <f t="shared" si="2"/>
        <v>Oregon</v>
      </c>
      <c r="N7" s="5" t="str">
        <f t="shared" si="0"/>
        <v>F</v>
      </c>
      <c r="O7" s="5" t="str">
        <f t="shared" si="1"/>
        <v>Bachelor</v>
      </c>
    </row>
    <row r="8" spans="1:15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 t="str">
        <f t="shared" si="2"/>
        <v>Oregon</v>
      </c>
      <c r="N8" s="5" t="str">
        <f t="shared" si="0"/>
        <v>F</v>
      </c>
      <c r="O8" s="5" t="str">
        <f t="shared" si="1"/>
        <v>College</v>
      </c>
    </row>
    <row r="9" spans="1:15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 t="str">
        <f t="shared" si="2"/>
        <v>Arizona</v>
      </c>
      <c r="N9" s="5" t="str">
        <f t="shared" si="0"/>
        <v>M</v>
      </c>
      <c r="O9" s="5" t="str">
        <f t="shared" si="1"/>
        <v>Master</v>
      </c>
    </row>
    <row r="10" spans="1:15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 t="str">
        <f t="shared" si="2"/>
        <v>Oregon</v>
      </c>
      <c r="N10" s="5" t="str">
        <f t="shared" si="0"/>
        <v>M</v>
      </c>
      <c r="O10" s="5" t="str">
        <f t="shared" si="1"/>
        <v>Bachelor</v>
      </c>
    </row>
    <row r="11" spans="1:15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 t="str">
        <f t="shared" si="2"/>
        <v>Oregon</v>
      </c>
      <c r="N11" s="5" t="str">
        <f t="shared" si="0"/>
        <v>F</v>
      </c>
      <c r="O11" s="5" t="str">
        <f t="shared" si="1"/>
        <v>College</v>
      </c>
    </row>
    <row r="12" spans="1:15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 t="str">
        <f t="shared" si="2"/>
        <v>California</v>
      </c>
      <c r="N12" s="5" t="str">
        <f t="shared" si="0"/>
        <v>M</v>
      </c>
      <c r="O12" s="5" t="str">
        <f t="shared" si="1"/>
        <v>College</v>
      </c>
    </row>
    <row r="13" spans="1:15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 t="str">
        <f t="shared" si="2"/>
        <v>California</v>
      </c>
      <c r="N13" s="5" t="str">
        <f t="shared" si="0"/>
        <v>NA</v>
      </c>
      <c r="O13" s="5" t="str">
        <f t="shared" si="1"/>
        <v>College</v>
      </c>
    </row>
    <row r="14" spans="1:15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 t="str">
        <f t="shared" si="2"/>
        <v>California</v>
      </c>
      <c r="N14" s="5" t="str">
        <f t="shared" si="0"/>
        <v>NA</v>
      </c>
      <c r="O14" s="5" t="str">
        <f t="shared" si="1"/>
        <v>Master</v>
      </c>
    </row>
    <row r="15" spans="1:15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 t="str">
        <f t="shared" si="2"/>
        <v>Arizona</v>
      </c>
      <c r="N15" s="5" t="str">
        <f t="shared" si="0"/>
        <v>NA</v>
      </c>
      <c r="O15" s="5" t="str">
        <f t="shared" si="1"/>
        <v>High School or Below</v>
      </c>
    </row>
    <row r="16" spans="1:15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 t="str">
        <f t="shared" si="2"/>
        <v>California</v>
      </c>
      <c r="N16" s="5" t="str">
        <f t="shared" si="0"/>
        <v>NA</v>
      </c>
      <c r="O16" s="5" t="str">
        <f t="shared" si="1"/>
        <v>College</v>
      </c>
    </row>
    <row r="17" spans="1:15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 t="str">
        <f t="shared" si="2"/>
        <v>Oregon</v>
      </c>
      <c r="N17" s="5" t="str">
        <f t="shared" si="0"/>
        <v>NA</v>
      </c>
      <c r="O17" s="5" t="str">
        <f t="shared" si="1"/>
        <v>Bachelor</v>
      </c>
    </row>
    <row r="18" spans="1:15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 t="str">
        <f t="shared" si="2"/>
        <v>Nevada</v>
      </c>
      <c r="N18" s="5" t="str">
        <f t="shared" si="0"/>
        <v>NA</v>
      </c>
      <c r="O18" s="5" t="str">
        <f t="shared" si="1"/>
        <v>High School or Below</v>
      </c>
    </row>
    <row r="19" spans="1:15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 t="str">
        <f t="shared" si="2"/>
        <v>California</v>
      </c>
      <c r="N19" s="5" t="str">
        <f t="shared" si="0"/>
        <v>NA</v>
      </c>
      <c r="O19" s="5" t="str">
        <f t="shared" si="1"/>
        <v>College</v>
      </c>
    </row>
    <row r="20" spans="1:15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 t="str">
        <f t="shared" si="2"/>
        <v>Oregon</v>
      </c>
      <c r="N20" s="5" t="str">
        <f t="shared" si="0"/>
        <v>NA</v>
      </c>
      <c r="O20" s="5" t="str">
        <f t="shared" si="1"/>
        <v>College</v>
      </c>
    </row>
    <row r="21" spans="1:15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 t="str">
        <f t="shared" si="2"/>
        <v>California</v>
      </c>
      <c r="N21" s="5" t="str">
        <f t="shared" si="0"/>
        <v>NA</v>
      </c>
      <c r="O21" s="5" t="str">
        <f t="shared" si="1"/>
        <v>High School or Below</v>
      </c>
    </row>
    <row r="22" spans="1:15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 t="str">
        <f t="shared" si="2"/>
        <v>Oregon</v>
      </c>
      <c r="N22" s="5" t="str">
        <f t="shared" si="0"/>
        <v>NA</v>
      </c>
      <c r="O22" s="5" t="str">
        <f t="shared" si="1"/>
        <v>High School or Below</v>
      </c>
    </row>
    <row r="23" spans="1:15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 t="str">
        <f t="shared" si="2"/>
        <v>Washington</v>
      </c>
      <c r="N23" s="5" t="str">
        <f t="shared" si="0"/>
        <v>M</v>
      </c>
      <c r="O23" s="5" t="str">
        <f t="shared" si="1"/>
        <v>Bachelor</v>
      </c>
    </row>
    <row r="24" spans="1:15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 t="str">
        <f t="shared" si="2"/>
        <v>Arizona</v>
      </c>
      <c r="N24" s="5" t="str">
        <f t="shared" si="0"/>
        <v>NA</v>
      </c>
      <c r="O24" s="5" t="str">
        <f t="shared" si="1"/>
        <v>Bachelor</v>
      </c>
    </row>
    <row r="25" spans="1:15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 t="str">
        <f t="shared" si="2"/>
        <v>Nevada</v>
      </c>
      <c r="N25" s="5" t="str">
        <f t="shared" si="0"/>
        <v>NA</v>
      </c>
      <c r="O25" s="5" t="str">
        <f t="shared" si="1"/>
        <v>Bachelor</v>
      </c>
    </row>
    <row r="26" spans="1:15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 t="str">
        <f t="shared" si="2"/>
        <v>California</v>
      </c>
      <c r="N26" s="5" t="str">
        <f t="shared" si="0"/>
        <v>NA</v>
      </c>
      <c r="O26" s="5" t="str">
        <f t="shared" si="1"/>
        <v>Bachelor</v>
      </c>
    </row>
    <row r="27" spans="1:15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 t="str">
        <f t="shared" si="2"/>
        <v>Oregon</v>
      </c>
      <c r="N27" s="5" t="str">
        <f t="shared" si="0"/>
        <v>NA</v>
      </c>
      <c r="O27" s="5" t="str">
        <f t="shared" si="1"/>
        <v>College</v>
      </c>
    </row>
    <row r="28" spans="1:15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 t="str">
        <f t="shared" si="2"/>
        <v>California</v>
      </c>
      <c r="N28" s="5" t="str">
        <f t="shared" si="0"/>
        <v>NA</v>
      </c>
      <c r="O28" s="5" t="str">
        <f t="shared" si="1"/>
        <v>Bachelor</v>
      </c>
    </row>
    <row r="29" spans="1:15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 t="str">
        <f t="shared" si="2"/>
        <v>Washington</v>
      </c>
      <c r="N29" s="5" t="str">
        <f t="shared" si="0"/>
        <v>M</v>
      </c>
      <c r="O29" s="5" t="str">
        <f t="shared" si="1"/>
        <v>College</v>
      </c>
    </row>
    <row r="30" spans="1:15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 t="str">
        <f t="shared" si="2"/>
        <v>Arizona</v>
      </c>
      <c r="N30" s="5" t="str">
        <f t="shared" si="0"/>
        <v>NA</v>
      </c>
      <c r="O30" s="5" t="str">
        <f t="shared" si="1"/>
        <v>College</v>
      </c>
    </row>
    <row r="31" spans="1:15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 t="str">
        <f t="shared" si="2"/>
        <v>Oregon</v>
      </c>
      <c r="N31" s="5" t="str">
        <f t="shared" si="0"/>
        <v>NA</v>
      </c>
      <c r="O31" s="5" t="str">
        <f t="shared" si="1"/>
        <v>Master</v>
      </c>
    </row>
    <row r="32" spans="1:15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 t="str">
        <f t="shared" si="2"/>
        <v>Arizona</v>
      </c>
      <c r="N32" s="5" t="str">
        <f t="shared" si="0"/>
        <v>NA</v>
      </c>
      <c r="O32" s="5" t="str">
        <f t="shared" si="1"/>
        <v>College</v>
      </c>
    </row>
    <row r="33" spans="1:15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 t="str">
        <f t="shared" si="2"/>
        <v>Nevada</v>
      </c>
      <c r="N33" s="5" t="str">
        <f t="shared" si="0"/>
        <v>NA</v>
      </c>
      <c r="O33" s="5" t="str">
        <f t="shared" si="1"/>
        <v>High School or Below</v>
      </c>
    </row>
    <row r="34" spans="1:15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 t="str">
        <f t="shared" si="2"/>
        <v>California</v>
      </c>
      <c r="N34" s="5" t="str">
        <f t="shared" si="0"/>
        <v>NA</v>
      </c>
      <c r="O34" s="5" t="str">
        <f t="shared" si="1"/>
        <v>Bachelor</v>
      </c>
    </row>
    <row r="35" spans="1:15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 t="str">
        <f t="shared" si="2"/>
        <v>Washington</v>
      </c>
      <c r="N35" s="5" t="str">
        <f t="shared" si="0"/>
        <v>F</v>
      </c>
      <c r="O35" s="5" t="str">
        <f t="shared" si="1"/>
        <v>College</v>
      </c>
    </row>
    <row r="36" spans="1:15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 t="str">
        <f t="shared" si="2"/>
        <v>Oregon</v>
      </c>
      <c r="N36" s="5" t="str">
        <f t="shared" si="0"/>
        <v>NA</v>
      </c>
      <c r="O36" s="5" t="str">
        <f t="shared" si="1"/>
        <v>Bachelor</v>
      </c>
    </row>
    <row r="37" spans="1:15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 t="str">
        <f t="shared" si="2"/>
        <v>Arizona</v>
      </c>
      <c r="N37" s="5" t="str">
        <f t="shared" si="0"/>
        <v>NA</v>
      </c>
      <c r="O37" s="5" t="str">
        <f t="shared" si="1"/>
        <v>High School or Below</v>
      </c>
    </row>
    <row r="38" spans="1:15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 t="str">
        <f t="shared" si="2"/>
        <v>California</v>
      </c>
      <c r="N38" s="5" t="str">
        <f t="shared" si="0"/>
        <v>NA</v>
      </c>
      <c r="O38" s="5" t="str">
        <f t="shared" si="1"/>
        <v>Bachelor</v>
      </c>
    </row>
    <row r="39" spans="1:15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 t="str">
        <f t="shared" si="2"/>
        <v>Oregon</v>
      </c>
      <c r="N39" s="5" t="str">
        <f t="shared" si="0"/>
        <v>NA</v>
      </c>
      <c r="O39" s="5" t="str">
        <f t="shared" si="1"/>
        <v>Master</v>
      </c>
    </row>
    <row r="40" spans="1:15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 t="str">
        <f t="shared" si="2"/>
        <v>Oregon</v>
      </c>
      <c r="N40" s="5" t="str">
        <f t="shared" si="0"/>
        <v>NA</v>
      </c>
      <c r="O40" s="5" t="str">
        <f t="shared" si="1"/>
        <v>Bachelor</v>
      </c>
    </row>
    <row r="41" spans="1:15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 t="str">
        <f t="shared" si="2"/>
        <v>Arizona</v>
      </c>
      <c r="N41" s="5" t="str">
        <f t="shared" si="0"/>
        <v>NA</v>
      </c>
      <c r="O41" s="5" t="str">
        <f t="shared" si="1"/>
        <v>High School or Below</v>
      </c>
    </row>
    <row r="42" spans="1:15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 t="str">
        <f t="shared" si="2"/>
        <v>Nevada</v>
      </c>
      <c r="N42" s="5" t="str">
        <f t="shared" si="0"/>
        <v>NA</v>
      </c>
      <c r="O42" s="5" t="str">
        <f t="shared" si="1"/>
        <v>High School or Below</v>
      </c>
    </row>
    <row r="43" spans="1:15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 t="str">
        <f t="shared" si="2"/>
        <v>Oregon</v>
      </c>
      <c r="N43" s="5" t="str">
        <f t="shared" si="0"/>
        <v>NA</v>
      </c>
      <c r="O43" s="5" t="str">
        <f t="shared" si="1"/>
        <v>College</v>
      </c>
    </row>
    <row r="44" spans="1:15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 t="str">
        <f t="shared" si="2"/>
        <v>California</v>
      </c>
      <c r="N44" s="5" t="str">
        <f t="shared" si="0"/>
        <v>NA</v>
      </c>
      <c r="O44" s="5" t="str">
        <f t="shared" si="1"/>
        <v>Bachelor</v>
      </c>
    </row>
    <row r="45" spans="1:15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 t="str">
        <f t="shared" si="2"/>
        <v>Arizona</v>
      </c>
      <c r="N45" s="5" t="str">
        <f t="shared" si="0"/>
        <v>NA</v>
      </c>
      <c r="O45" s="5" t="str">
        <f t="shared" si="1"/>
        <v>High School or Below</v>
      </c>
    </row>
    <row r="46" spans="1:15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 t="str">
        <f t="shared" si="2"/>
        <v>Washington</v>
      </c>
      <c r="N46" s="5" t="str">
        <f t="shared" si="0"/>
        <v>M</v>
      </c>
      <c r="O46" s="5" t="str">
        <f t="shared" si="1"/>
        <v>Doctor</v>
      </c>
    </row>
    <row r="47" spans="1:15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 t="str">
        <f t="shared" si="2"/>
        <v>Oregon</v>
      </c>
      <c r="N47" s="5" t="str">
        <f t="shared" si="0"/>
        <v>NA</v>
      </c>
      <c r="O47" s="5" t="str">
        <f t="shared" si="1"/>
        <v>Doctor</v>
      </c>
    </row>
    <row r="48" spans="1:15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 t="str">
        <f t="shared" si="2"/>
        <v>Arizona</v>
      </c>
      <c r="N48" s="5" t="str">
        <f t="shared" si="0"/>
        <v>NA</v>
      </c>
      <c r="O48" s="5" t="str">
        <f t="shared" si="1"/>
        <v>Bachelor</v>
      </c>
    </row>
    <row r="49" spans="1:15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 t="str">
        <f t="shared" si="2"/>
        <v>Oregon</v>
      </c>
      <c r="N49" s="5" t="str">
        <f t="shared" si="0"/>
        <v>NA</v>
      </c>
      <c r="O49" s="5" t="str">
        <f t="shared" si="1"/>
        <v>High School or Below</v>
      </c>
    </row>
    <row r="50" spans="1:15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 t="str">
        <f t="shared" si="2"/>
        <v>California</v>
      </c>
      <c r="N50" s="5" t="str">
        <f t="shared" si="0"/>
        <v>NA</v>
      </c>
      <c r="O50" s="5" t="str">
        <f t="shared" si="1"/>
        <v>Bachelor</v>
      </c>
    </row>
    <row r="51" spans="1:15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 t="str">
        <f t="shared" si="2"/>
        <v>Arizona</v>
      </c>
      <c r="N51" s="5" t="str">
        <f t="shared" si="0"/>
        <v>NA</v>
      </c>
      <c r="O51" s="5" t="str">
        <f t="shared" si="1"/>
        <v>High School or Below</v>
      </c>
    </row>
    <row r="52" spans="1:15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 t="str">
        <f t="shared" si="2"/>
        <v>Oregon</v>
      </c>
      <c r="N52" s="5" t="str">
        <f t="shared" si="0"/>
        <v>NA</v>
      </c>
      <c r="O52" s="5" t="str">
        <f t="shared" si="1"/>
        <v>College</v>
      </c>
    </row>
    <row r="53" spans="1:15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 t="str">
        <f t="shared" si="2"/>
        <v>California</v>
      </c>
      <c r="N53" s="5" t="str">
        <f t="shared" si="0"/>
        <v>NA</v>
      </c>
      <c r="O53" s="5" t="str">
        <f t="shared" si="1"/>
        <v>Bachelor</v>
      </c>
    </row>
    <row r="54" spans="1:15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 t="str">
        <f t="shared" si="2"/>
        <v>Nevada</v>
      </c>
      <c r="N54" s="5" t="str">
        <f t="shared" si="0"/>
        <v>NA</v>
      </c>
      <c r="O54" s="5" t="str">
        <f t="shared" si="1"/>
        <v>High School or Below</v>
      </c>
    </row>
    <row r="55" spans="1:15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 t="str">
        <f t="shared" si="2"/>
        <v>Washington</v>
      </c>
      <c r="N55" s="5" t="str">
        <f t="shared" si="0"/>
        <v>F</v>
      </c>
      <c r="O55" s="5" t="str">
        <f t="shared" si="1"/>
        <v>Master</v>
      </c>
    </row>
    <row r="56" spans="1:15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 t="str">
        <f t="shared" si="2"/>
        <v>California</v>
      </c>
      <c r="N56" s="5" t="str">
        <f t="shared" si="0"/>
        <v>NA</v>
      </c>
      <c r="O56" s="5" t="str">
        <f t="shared" si="1"/>
        <v>Bachelor</v>
      </c>
    </row>
    <row r="57" spans="1:15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 t="str">
        <f t="shared" si="2"/>
        <v>Arizona</v>
      </c>
      <c r="N57" s="5" t="str">
        <f t="shared" si="0"/>
        <v>NA</v>
      </c>
      <c r="O57" s="5" t="str">
        <f t="shared" si="1"/>
        <v>College</v>
      </c>
    </row>
    <row r="58" spans="1:15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 t="str">
        <f t="shared" si="2"/>
        <v>California</v>
      </c>
      <c r="N58" s="5" t="str">
        <f t="shared" si="0"/>
        <v>NA</v>
      </c>
      <c r="O58" s="5" t="str">
        <f t="shared" si="1"/>
        <v>College</v>
      </c>
    </row>
    <row r="59" spans="1:15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 t="str">
        <f t="shared" si="2"/>
        <v>Arizona</v>
      </c>
      <c r="N59" s="5" t="str">
        <f t="shared" si="0"/>
        <v>NA</v>
      </c>
      <c r="O59" s="5" t="str">
        <f t="shared" si="1"/>
        <v>High School or Below</v>
      </c>
    </row>
    <row r="60" spans="1:15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 t="str">
        <f t="shared" si="2"/>
        <v>Oregon</v>
      </c>
      <c r="N60" s="5" t="str">
        <f t="shared" si="0"/>
        <v>NA</v>
      </c>
      <c r="O60" s="5" t="str">
        <f t="shared" si="1"/>
        <v>High School or Below</v>
      </c>
    </row>
    <row r="61" spans="1:15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 t="str">
        <f t="shared" si="2"/>
        <v>Oregon</v>
      </c>
      <c r="N61" s="5" t="str">
        <f t="shared" si="0"/>
        <v>NA</v>
      </c>
      <c r="O61" s="5" t="str">
        <f t="shared" si="1"/>
        <v>Master</v>
      </c>
    </row>
    <row r="62" spans="1:15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 t="str">
        <f t="shared" si="2"/>
        <v>Arizona</v>
      </c>
      <c r="N62" s="5" t="str">
        <f t="shared" si="0"/>
        <v>NA</v>
      </c>
      <c r="O62" s="5" t="str">
        <f t="shared" si="1"/>
        <v>Bachelor</v>
      </c>
    </row>
    <row r="63" spans="1:15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 t="str">
        <f t="shared" si="2"/>
        <v>California</v>
      </c>
      <c r="N63" s="5" t="str">
        <f t="shared" si="0"/>
        <v>NA</v>
      </c>
      <c r="O63" s="5" t="str">
        <f t="shared" si="1"/>
        <v>Bachelor</v>
      </c>
    </row>
    <row r="64" spans="1:15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 t="str">
        <f t="shared" si="2"/>
        <v>Oregon</v>
      </c>
      <c r="N64" s="5" t="str">
        <f t="shared" si="0"/>
        <v>NA</v>
      </c>
      <c r="O64" s="5" t="str">
        <f t="shared" si="1"/>
        <v>Bachelor</v>
      </c>
    </row>
    <row r="65" spans="1:15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 t="str">
        <f t="shared" si="2"/>
        <v>California</v>
      </c>
      <c r="N65" s="5" t="str">
        <f t="shared" si="0"/>
        <v>NA</v>
      </c>
      <c r="O65" s="5" t="str">
        <f t="shared" si="1"/>
        <v>High School or Below</v>
      </c>
    </row>
    <row r="66" spans="1:15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 t="str">
        <f t="shared" si="2"/>
        <v>Arizona</v>
      </c>
      <c r="N66" s="5" t="str">
        <f t="shared" ref="N66:N129" si="3">IF(OR(C66="F",C66="Femal",C66="female"),"F",IF(OR(C66="M",C66="Male"),"M","NA"))</f>
        <v>NA</v>
      </c>
      <c r="O66" s="5" t="str">
        <f t="shared" ref="O66:O129" si="4">IF(OR(D66="Bachelor",D66="Bachelors"),"Bachelor",D66)</f>
        <v>Bachelor</v>
      </c>
    </row>
    <row r="67" spans="1:15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 t="str">
        <f t="shared" ref="M67:M130" si="5">IF(OR(B67="Arizona",B67="AZ"),"Arizona",IF(OR(B67="California",B67="Cali"),"California",IF(B67="Nevada","Nevada",IF(B67="Oregon","Oregon",IF(OR(B67="Washington",B67="WA"),"Washington",B67)))))</f>
        <v>Washington</v>
      </c>
      <c r="N67" s="5" t="str">
        <f t="shared" si="3"/>
        <v>NA</v>
      </c>
      <c r="O67" s="5" t="str">
        <f t="shared" si="4"/>
        <v>College</v>
      </c>
    </row>
    <row r="68" spans="1:15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 t="str">
        <f t="shared" si="5"/>
        <v>Oregon</v>
      </c>
      <c r="N68" s="5" t="str">
        <f t="shared" si="3"/>
        <v>NA</v>
      </c>
      <c r="O68" s="5" t="str">
        <f t="shared" si="4"/>
        <v>College</v>
      </c>
    </row>
    <row r="69" spans="1:15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 t="str">
        <f t="shared" si="5"/>
        <v>Arizona</v>
      </c>
      <c r="N69" s="5" t="str">
        <f t="shared" si="3"/>
        <v>NA</v>
      </c>
      <c r="O69" s="5" t="str">
        <f t="shared" si="4"/>
        <v>High School or Below</v>
      </c>
    </row>
    <row r="70" spans="1:15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 t="str">
        <f t="shared" si="5"/>
        <v>Oregon</v>
      </c>
      <c r="N70" s="5" t="str">
        <f t="shared" si="3"/>
        <v>NA</v>
      </c>
      <c r="O70" s="5" t="str">
        <f t="shared" si="4"/>
        <v>Bachelor</v>
      </c>
    </row>
    <row r="71" spans="1:15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 t="str">
        <f t="shared" si="5"/>
        <v>California</v>
      </c>
      <c r="N71" s="5" t="str">
        <f t="shared" si="3"/>
        <v>NA</v>
      </c>
      <c r="O71" s="5" t="str">
        <f t="shared" si="4"/>
        <v>College</v>
      </c>
    </row>
    <row r="72" spans="1:15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 t="str">
        <f t="shared" si="5"/>
        <v>Oregon</v>
      </c>
      <c r="N72" s="5" t="str">
        <f t="shared" si="3"/>
        <v>NA</v>
      </c>
      <c r="O72" s="5" t="str">
        <f t="shared" si="4"/>
        <v>High School or Below</v>
      </c>
    </row>
    <row r="73" spans="1:15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 t="str">
        <f t="shared" si="5"/>
        <v>Oregon</v>
      </c>
      <c r="N73" s="5" t="str">
        <f t="shared" si="3"/>
        <v>NA</v>
      </c>
      <c r="O73" s="5" t="str">
        <f t="shared" si="4"/>
        <v>Master</v>
      </c>
    </row>
    <row r="74" spans="1:15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 t="str">
        <f t="shared" si="5"/>
        <v>Oregon</v>
      </c>
      <c r="N74" s="5" t="str">
        <f t="shared" si="3"/>
        <v>NA</v>
      </c>
      <c r="O74" s="5" t="str">
        <f t="shared" si="4"/>
        <v>Master</v>
      </c>
    </row>
    <row r="75" spans="1:15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 t="str">
        <f t="shared" si="5"/>
        <v>Oregon</v>
      </c>
      <c r="N75" s="5" t="str">
        <f t="shared" si="3"/>
        <v>NA</v>
      </c>
      <c r="O75" s="5" t="str">
        <f t="shared" si="4"/>
        <v>Bachelor</v>
      </c>
    </row>
    <row r="76" spans="1:15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 t="str">
        <f t="shared" si="5"/>
        <v>Oregon</v>
      </c>
      <c r="N76" s="5" t="str">
        <f t="shared" si="3"/>
        <v>NA</v>
      </c>
      <c r="O76" s="5" t="str">
        <f t="shared" si="4"/>
        <v>Bachelor</v>
      </c>
    </row>
    <row r="77" spans="1:15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 t="str">
        <f t="shared" si="5"/>
        <v>Oregon</v>
      </c>
      <c r="N77" s="5" t="str">
        <f t="shared" si="3"/>
        <v>NA</v>
      </c>
      <c r="O77" s="5" t="str">
        <f t="shared" si="4"/>
        <v>Bachelor</v>
      </c>
    </row>
    <row r="78" spans="1:15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 t="str">
        <f t="shared" si="5"/>
        <v>Oregon</v>
      </c>
      <c r="N78" s="5" t="str">
        <f t="shared" si="3"/>
        <v>NA</v>
      </c>
      <c r="O78" s="5" t="str">
        <f t="shared" si="4"/>
        <v>High School or Below</v>
      </c>
    </row>
    <row r="79" spans="1:15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 t="str">
        <f t="shared" si="5"/>
        <v>Nevada</v>
      </c>
      <c r="N79" s="5" t="str">
        <f t="shared" si="3"/>
        <v>NA</v>
      </c>
      <c r="O79" s="5" t="str">
        <f t="shared" si="4"/>
        <v>College</v>
      </c>
    </row>
    <row r="80" spans="1:15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 t="str">
        <f t="shared" si="5"/>
        <v>Washington</v>
      </c>
      <c r="N80" s="5" t="str">
        <f t="shared" si="3"/>
        <v>F</v>
      </c>
      <c r="O80" s="5" t="str">
        <f t="shared" si="4"/>
        <v>Master</v>
      </c>
    </row>
    <row r="81" spans="1:15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 t="str">
        <f t="shared" si="5"/>
        <v>California</v>
      </c>
      <c r="N81" s="5" t="str">
        <f t="shared" si="3"/>
        <v>NA</v>
      </c>
      <c r="O81" s="5" t="str">
        <f t="shared" si="4"/>
        <v>Bachelor</v>
      </c>
    </row>
    <row r="82" spans="1:15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 t="str">
        <f t="shared" si="5"/>
        <v>California</v>
      </c>
      <c r="N82" s="5" t="str">
        <f t="shared" si="3"/>
        <v>NA</v>
      </c>
      <c r="O82" s="5" t="str">
        <f t="shared" si="4"/>
        <v>College</v>
      </c>
    </row>
    <row r="83" spans="1:15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 t="str">
        <f t="shared" si="5"/>
        <v>California</v>
      </c>
      <c r="N83" s="5" t="str">
        <f t="shared" si="3"/>
        <v>NA</v>
      </c>
      <c r="O83" s="5" t="str">
        <f t="shared" si="4"/>
        <v>High School or Below</v>
      </c>
    </row>
    <row r="84" spans="1:15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 t="str">
        <f t="shared" si="5"/>
        <v>California</v>
      </c>
      <c r="N84" s="5" t="str">
        <f t="shared" si="3"/>
        <v>NA</v>
      </c>
      <c r="O84" s="5" t="str">
        <f t="shared" si="4"/>
        <v>Doctor</v>
      </c>
    </row>
    <row r="85" spans="1:15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 t="str">
        <f t="shared" si="5"/>
        <v>Nevada</v>
      </c>
      <c r="N85" s="5" t="str">
        <f t="shared" si="3"/>
        <v>NA</v>
      </c>
      <c r="O85" s="5" t="str">
        <f t="shared" si="4"/>
        <v>Master</v>
      </c>
    </row>
    <row r="86" spans="1:15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 t="str">
        <f t="shared" si="5"/>
        <v>Oregon</v>
      </c>
      <c r="N86" s="5" t="str">
        <f t="shared" si="3"/>
        <v>NA</v>
      </c>
      <c r="O86" s="5" t="str">
        <f t="shared" si="4"/>
        <v>College</v>
      </c>
    </row>
    <row r="87" spans="1:15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 t="str">
        <f t="shared" si="5"/>
        <v>Washington</v>
      </c>
      <c r="N87" s="5" t="str">
        <f t="shared" si="3"/>
        <v>F</v>
      </c>
      <c r="O87" s="5" t="str">
        <f t="shared" si="4"/>
        <v>Bachelor</v>
      </c>
    </row>
    <row r="88" spans="1:15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 t="str">
        <f t="shared" si="5"/>
        <v>California</v>
      </c>
      <c r="N88" s="5" t="str">
        <f t="shared" si="3"/>
        <v>NA</v>
      </c>
      <c r="O88" s="5" t="str">
        <f t="shared" si="4"/>
        <v>College</v>
      </c>
    </row>
    <row r="89" spans="1:15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 t="str">
        <f t="shared" si="5"/>
        <v>California</v>
      </c>
      <c r="N89" s="5" t="str">
        <f t="shared" si="3"/>
        <v>NA</v>
      </c>
      <c r="O89" s="5" t="str">
        <f t="shared" si="4"/>
        <v>Bachelor</v>
      </c>
    </row>
    <row r="90" spans="1:15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 t="str">
        <f t="shared" si="5"/>
        <v>Oregon</v>
      </c>
      <c r="N90" s="5" t="str">
        <f t="shared" si="3"/>
        <v>NA</v>
      </c>
      <c r="O90" s="5" t="str">
        <f t="shared" si="4"/>
        <v>Bachelor</v>
      </c>
    </row>
    <row r="91" spans="1:15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 t="str">
        <f t="shared" si="5"/>
        <v>California</v>
      </c>
      <c r="N91" s="5" t="str">
        <f t="shared" si="3"/>
        <v>NA</v>
      </c>
      <c r="O91" s="5" t="str">
        <f t="shared" si="4"/>
        <v>College</v>
      </c>
    </row>
    <row r="92" spans="1:15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 t="str">
        <f t="shared" si="5"/>
        <v>Oregon</v>
      </c>
      <c r="N92" s="5" t="str">
        <f t="shared" si="3"/>
        <v>NA</v>
      </c>
      <c r="O92" s="5" t="str">
        <f t="shared" si="4"/>
        <v>College</v>
      </c>
    </row>
    <row r="93" spans="1:15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 t="str">
        <f t="shared" si="5"/>
        <v>Washington</v>
      </c>
      <c r="N93" s="5" t="str">
        <f t="shared" si="3"/>
        <v>F</v>
      </c>
      <c r="O93" s="5" t="str">
        <f t="shared" si="4"/>
        <v>College</v>
      </c>
    </row>
    <row r="94" spans="1:15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 t="str">
        <f t="shared" si="5"/>
        <v>Oregon</v>
      </c>
      <c r="N94" s="5" t="str">
        <f t="shared" si="3"/>
        <v>NA</v>
      </c>
      <c r="O94" s="5" t="str">
        <f t="shared" si="4"/>
        <v>Bachelor</v>
      </c>
    </row>
    <row r="95" spans="1:15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 t="str">
        <f t="shared" si="5"/>
        <v>Oregon</v>
      </c>
      <c r="N95" s="5" t="str">
        <f t="shared" si="3"/>
        <v>NA</v>
      </c>
      <c r="O95" s="5" t="str">
        <f t="shared" si="4"/>
        <v>Bachelor</v>
      </c>
    </row>
    <row r="96" spans="1:15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 t="str">
        <f t="shared" si="5"/>
        <v>California</v>
      </c>
      <c r="N96" s="5" t="str">
        <f t="shared" si="3"/>
        <v>NA</v>
      </c>
      <c r="O96" s="5" t="str">
        <f t="shared" si="4"/>
        <v>High School or Below</v>
      </c>
    </row>
    <row r="97" spans="1:15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 t="str">
        <f t="shared" si="5"/>
        <v>Oregon</v>
      </c>
      <c r="N97" s="5" t="str">
        <f t="shared" si="3"/>
        <v>NA</v>
      </c>
      <c r="O97" s="5" t="str">
        <f t="shared" si="4"/>
        <v>Bachelor</v>
      </c>
    </row>
    <row r="98" spans="1:15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 t="str">
        <f t="shared" si="5"/>
        <v>Arizona</v>
      </c>
      <c r="N98" s="5" t="str">
        <f t="shared" si="3"/>
        <v>NA</v>
      </c>
      <c r="O98" s="5" t="str">
        <f t="shared" si="4"/>
        <v>Master</v>
      </c>
    </row>
    <row r="99" spans="1:15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 t="str">
        <f t="shared" si="5"/>
        <v>California</v>
      </c>
      <c r="N99" s="5" t="str">
        <f t="shared" si="3"/>
        <v>NA</v>
      </c>
      <c r="O99" s="5" t="str">
        <f t="shared" si="4"/>
        <v>Bachelor</v>
      </c>
    </row>
    <row r="100" spans="1:15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 t="str">
        <f t="shared" si="5"/>
        <v>Arizona</v>
      </c>
      <c r="N100" s="5" t="str">
        <f t="shared" si="3"/>
        <v>NA</v>
      </c>
      <c r="O100" s="5" t="str">
        <f t="shared" si="4"/>
        <v>Bachelor</v>
      </c>
    </row>
    <row r="101" spans="1:15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 t="str">
        <f t="shared" si="5"/>
        <v>Oregon</v>
      </c>
      <c r="N101" s="5" t="str">
        <f t="shared" si="3"/>
        <v>NA</v>
      </c>
      <c r="O101" s="5" t="str">
        <f t="shared" si="4"/>
        <v>College</v>
      </c>
    </row>
    <row r="102" spans="1:15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 t="str">
        <f t="shared" si="5"/>
        <v>California</v>
      </c>
      <c r="N102" s="5" t="str">
        <f t="shared" si="3"/>
        <v>NA</v>
      </c>
      <c r="O102" s="5" t="str">
        <f t="shared" si="4"/>
        <v>College</v>
      </c>
    </row>
    <row r="103" spans="1:15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 t="str">
        <f t="shared" si="5"/>
        <v>California</v>
      </c>
      <c r="N103" s="5" t="str">
        <f t="shared" si="3"/>
        <v>NA</v>
      </c>
      <c r="O103" s="5" t="str">
        <f t="shared" si="4"/>
        <v>College</v>
      </c>
    </row>
    <row r="104" spans="1:15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 t="str">
        <f t="shared" si="5"/>
        <v>Oregon</v>
      </c>
      <c r="N104" s="5" t="str">
        <f t="shared" si="3"/>
        <v>NA</v>
      </c>
      <c r="O104" s="5" t="str">
        <f t="shared" si="4"/>
        <v>Bachelor</v>
      </c>
    </row>
    <row r="105" spans="1:15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 t="str">
        <f t="shared" si="5"/>
        <v>California</v>
      </c>
      <c r="N105" s="5" t="str">
        <f t="shared" si="3"/>
        <v>NA</v>
      </c>
      <c r="O105" s="5" t="str">
        <f t="shared" si="4"/>
        <v>College</v>
      </c>
    </row>
    <row r="106" spans="1:15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 t="str">
        <f t="shared" si="5"/>
        <v>California</v>
      </c>
      <c r="N106" s="5" t="str">
        <f t="shared" si="3"/>
        <v>NA</v>
      </c>
      <c r="O106" s="5" t="str">
        <f t="shared" si="4"/>
        <v>High School or Below</v>
      </c>
    </row>
    <row r="107" spans="1:15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 t="str">
        <f t="shared" si="5"/>
        <v>Oregon</v>
      </c>
      <c r="N107" s="5" t="str">
        <f t="shared" si="3"/>
        <v>NA</v>
      </c>
      <c r="O107" s="5" t="str">
        <f t="shared" si="4"/>
        <v>Bachelor</v>
      </c>
    </row>
    <row r="108" spans="1:15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 t="str">
        <f t="shared" si="5"/>
        <v>California</v>
      </c>
      <c r="N108" s="5" t="str">
        <f t="shared" si="3"/>
        <v>NA</v>
      </c>
      <c r="O108" s="5" t="str">
        <f t="shared" si="4"/>
        <v>Bachelor</v>
      </c>
    </row>
    <row r="109" spans="1:15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 t="str">
        <f t="shared" si="5"/>
        <v>Oregon</v>
      </c>
      <c r="N109" s="5" t="str">
        <f t="shared" si="3"/>
        <v>NA</v>
      </c>
      <c r="O109" s="5" t="str">
        <f t="shared" si="4"/>
        <v>High School or Below</v>
      </c>
    </row>
    <row r="110" spans="1:15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 t="str">
        <f t="shared" si="5"/>
        <v>California</v>
      </c>
      <c r="N110" s="5" t="str">
        <f t="shared" si="3"/>
        <v>NA</v>
      </c>
      <c r="O110" s="5" t="str">
        <f t="shared" si="4"/>
        <v>Bachelor</v>
      </c>
    </row>
    <row r="111" spans="1:15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 t="str">
        <f t="shared" si="5"/>
        <v>Oregon</v>
      </c>
      <c r="N111" s="5" t="str">
        <f t="shared" si="3"/>
        <v>NA</v>
      </c>
      <c r="O111" s="5" t="str">
        <f t="shared" si="4"/>
        <v>College</v>
      </c>
    </row>
    <row r="112" spans="1:15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 t="str">
        <f t="shared" si="5"/>
        <v>California</v>
      </c>
      <c r="N112" s="5" t="str">
        <f t="shared" si="3"/>
        <v>NA</v>
      </c>
      <c r="O112" s="5" t="str">
        <f t="shared" si="4"/>
        <v>College</v>
      </c>
    </row>
    <row r="113" spans="1:15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 t="str">
        <f t="shared" si="5"/>
        <v>Washington</v>
      </c>
      <c r="N113" s="5" t="str">
        <f t="shared" si="3"/>
        <v>M</v>
      </c>
      <c r="O113" s="5" t="str">
        <f t="shared" si="4"/>
        <v>High School or Below</v>
      </c>
    </row>
    <row r="114" spans="1:15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 t="str">
        <f t="shared" si="5"/>
        <v>Arizona</v>
      </c>
      <c r="N114" s="5" t="str">
        <f t="shared" si="3"/>
        <v>NA</v>
      </c>
      <c r="O114" s="5" t="str">
        <f t="shared" si="4"/>
        <v>College</v>
      </c>
    </row>
    <row r="115" spans="1:15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 t="str">
        <f t="shared" si="5"/>
        <v>Oregon</v>
      </c>
      <c r="N115" s="5" t="str">
        <f t="shared" si="3"/>
        <v>NA</v>
      </c>
      <c r="O115" s="5" t="str">
        <f t="shared" si="4"/>
        <v>Bachelor</v>
      </c>
    </row>
    <row r="116" spans="1:15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 t="str">
        <f t="shared" si="5"/>
        <v>Washington</v>
      </c>
      <c r="N116" s="5" t="str">
        <f t="shared" si="3"/>
        <v>F</v>
      </c>
      <c r="O116" s="5" t="str">
        <f t="shared" si="4"/>
        <v>Master</v>
      </c>
    </row>
    <row r="117" spans="1:15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 t="str">
        <f t="shared" si="5"/>
        <v>California</v>
      </c>
      <c r="N117" s="5" t="str">
        <f t="shared" si="3"/>
        <v>NA</v>
      </c>
      <c r="O117" s="5" t="str">
        <f t="shared" si="4"/>
        <v>High School or Below</v>
      </c>
    </row>
    <row r="118" spans="1:15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 t="str">
        <f t="shared" si="5"/>
        <v>Oregon</v>
      </c>
      <c r="N118" s="5" t="str">
        <f t="shared" si="3"/>
        <v>NA</v>
      </c>
      <c r="O118" s="5" t="str">
        <f t="shared" si="4"/>
        <v>High School or Below</v>
      </c>
    </row>
    <row r="119" spans="1:15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 t="str">
        <f t="shared" si="5"/>
        <v>Arizona</v>
      </c>
      <c r="N119" s="5" t="str">
        <f t="shared" si="3"/>
        <v>NA</v>
      </c>
      <c r="O119" s="5" t="str">
        <f t="shared" si="4"/>
        <v>High School or Below</v>
      </c>
    </row>
    <row r="120" spans="1:15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 t="str">
        <f t="shared" si="5"/>
        <v>California</v>
      </c>
      <c r="N120" s="5" t="str">
        <f t="shared" si="3"/>
        <v>NA</v>
      </c>
      <c r="O120" s="5" t="str">
        <f t="shared" si="4"/>
        <v>Bachelor</v>
      </c>
    </row>
    <row r="121" spans="1:15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 t="str">
        <f t="shared" si="5"/>
        <v>California</v>
      </c>
      <c r="N121" s="5" t="str">
        <f t="shared" si="3"/>
        <v>NA</v>
      </c>
      <c r="O121" s="5" t="str">
        <f t="shared" si="4"/>
        <v>College</v>
      </c>
    </row>
    <row r="122" spans="1:15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 t="str">
        <f t="shared" si="5"/>
        <v>Washington</v>
      </c>
      <c r="N122" s="5" t="str">
        <f t="shared" si="3"/>
        <v>F</v>
      </c>
      <c r="O122" s="5" t="str">
        <f t="shared" si="4"/>
        <v>College</v>
      </c>
    </row>
    <row r="123" spans="1:15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 t="str">
        <f t="shared" si="5"/>
        <v>California</v>
      </c>
      <c r="N123" s="5" t="str">
        <f t="shared" si="3"/>
        <v>NA</v>
      </c>
      <c r="O123" s="5" t="str">
        <f t="shared" si="4"/>
        <v>Bachelor</v>
      </c>
    </row>
    <row r="124" spans="1:15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 t="str">
        <f t="shared" si="5"/>
        <v>Oregon</v>
      </c>
      <c r="N124" s="5" t="str">
        <f t="shared" si="3"/>
        <v>NA</v>
      </c>
      <c r="O124" s="5" t="str">
        <f t="shared" si="4"/>
        <v>High School or Below</v>
      </c>
    </row>
    <row r="125" spans="1:15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 t="str">
        <f t="shared" si="5"/>
        <v>California</v>
      </c>
      <c r="N125" s="5" t="str">
        <f t="shared" si="3"/>
        <v>NA</v>
      </c>
      <c r="O125" s="5" t="str">
        <f t="shared" si="4"/>
        <v>High School or Below</v>
      </c>
    </row>
    <row r="126" spans="1:15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 t="str">
        <f t="shared" si="5"/>
        <v>Nevada</v>
      </c>
      <c r="N126" s="5" t="str">
        <f t="shared" si="3"/>
        <v>NA</v>
      </c>
      <c r="O126" s="5" t="str">
        <f t="shared" si="4"/>
        <v>Bachelor</v>
      </c>
    </row>
    <row r="127" spans="1:15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 t="str">
        <f t="shared" si="5"/>
        <v>Oregon</v>
      </c>
      <c r="N127" s="5" t="str">
        <f t="shared" si="3"/>
        <v>NA</v>
      </c>
      <c r="O127" s="5" t="str">
        <f t="shared" si="4"/>
        <v>College</v>
      </c>
    </row>
    <row r="128" spans="1:15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 t="str">
        <f t="shared" si="5"/>
        <v>Oregon</v>
      </c>
      <c r="N128" s="5" t="str">
        <f t="shared" si="3"/>
        <v>NA</v>
      </c>
      <c r="O128" s="5" t="str">
        <f t="shared" si="4"/>
        <v>Master</v>
      </c>
    </row>
    <row r="129" spans="1:15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 t="str">
        <f t="shared" si="5"/>
        <v>Arizona</v>
      </c>
      <c r="N129" s="5" t="str">
        <f t="shared" si="3"/>
        <v>NA</v>
      </c>
      <c r="O129" s="5" t="str">
        <f t="shared" si="4"/>
        <v>College</v>
      </c>
    </row>
    <row r="130" spans="1:15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 t="str">
        <f t="shared" si="5"/>
        <v>Oregon</v>
      </c>
      <c r="N130" s="5" t="str">
        <f t="shared" ref="N130:N193" si="6">IF(OR(C130="F",C130="Femal",C130="female"),"F",IF(OR(C130="M",C130="Male"),"M","NA"))</f>
        <v>NA</v>
      </c>
      <c r="O130" s="5" t="str">
        <f t="shared" ref="O130:O193" si="7">IF(OR(D130="Bachelor",D130="Bachelors"),"Bachelor",D130)</f>
        <v>College</v>
      </c>
    </row>
    <row r="131" spans="1:15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 t="str">
        <f t="shared" ref="M131:M194" si="8">IF(OR(B131="Arizona",B131="AZ"),"Arizona",IF(OR(B131="California",B131="Cali"),"California",IF(B131="Nevada","Nevada",IF(B131="Oregon","Oregon",IF(OR(B131="Washington",B131="WA"),"Washington",B131)))))</f>
        <v>Washington</v>
      </c>
      <c r="N131" s="5" t="str">
        <f t="shared" si="6"/>
        <v>F</v>
      </c>
      <c r="O131" s="5" t="str">
        <f t="shared" si="7"/>
        <v>High School or Below</v>
      </c>
    </row>
    <row r="132" spans="1:15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 t="str">
        <f t="shared" si="8"/>
        <v>Arizona</v>
      </c>
      <c r="N132" s="5" t="str">
        <f t="shared" si="6"/>
        <v>NA</v>
      </c>
      <c r="O132" s="5" t="str">
        <f t="shared" si="7"/>
        <v>High School or Below</v>
      </c>
    </row>
    <row r="133" spans="1:15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 t="str">
        <f t="shared" si="8"/>
        <v>Nevada</v>
      </c>
      <c r="N133" s="5" t="str">
        <f t="shared" si="6"/>
        <v>NA</v>
      </c>
      <c r="O133" s="5" t="str">
        <f t="shared" si="7"/>
        <v>Bachelor</v>
      </c>
    </row>
    <row r="134" spans="1:15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 t="str">
        <f t="shared" si="8"/>
        <v>Oregon</v>
      </c>
      <c r="N134" s="5" t="str">
        <f t="shared" si="6"/>
        <v>NA</v>
      </c>
      <c r="O134" s="5" t="str">
        <f t="shared" si="7"/>
        <v>Bachelor</v>
      </c>
    </row>
    <row r="135" spans="1:15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 t="str">
        <f t="shared" si="8"/>
        <v>Arizona</v>
      </c>
      <c r="N135" s="5" t="str">
        <f t="shared" si="6"/>
        <v>NA</v>
      </c>
      <c r="O135" s="5" t="str">
        <f t="shared" si="7"/>
        <v>College</v>
      </c>
    </row>
    <row r="136" spans="1:15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 t="str">
        <f t="shared" si="8"/>
        <v>Arizona</v>
      </c>
      <c r="N136" s="5" t="str">
        <f t="shared" si="6"/>
        <v>NA</v>
      </c>
      <c r="O136" s="5" t="str">
        <f t="shared" si="7"/>
        <v>High School or Below</v>
      </c>
    </row>
    <row r="137" spans="1:15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 t="str">
        <f t="shared" si="8"/>
        <v>Arizona</v>
      </c>
      <c r="N137" s="5" t="str">
        <f t="shared" si="6"/>
        <v>NA</v>
      </c>
      <c r="O137" s="5" t="str">
        <f t="shared" si="7"/>
        <v>High School or Below</v>
      </c>
    </row>
    <row r="138" spans="1:15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 t="str">
        <f t="shared" si="8"/>
        <v>Oregon</v>
      </c>
      <c r="N138" s="5" t="str">
        <f t="shared" si="6"/>
        <v>NA</v>
      </c>
      <c r="O138" s="5" t="str">
        <f t="shared" si="7"/>
        <v>High School or Below</v>
      </c>
    </row>
    <row r="139" spans="1:15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 t="str">
        <f t="shared" si="8"/>
        <v>Washington</v>
      </c>
      <c r="N139" s="5" t="str">
        <f t="shared" si="6"/>
        <v>F</v>
      </c>
      <c r="O139" s="5" t="str">
        <f t="shared" si="7"/>
        <v>Bachelor</v>
      </c>
    </row>
    <row r="140" spans="1:15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 t="str">
        <f t="shared" si="8"/>
        <v>Oregon</v>
      </c>
      <c r="N140" s="5" t="str">
        <f t="shared" si="6"/>
        <v>NA</v>
      </c>
      <c r="O140" s="5" t="str">
        <f t="shared" si="7"/>
        <v>College</v>
      </c>
    </row>
    <row r="141" spans="1:15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 t="str">
        <f t="shared" si="8"/>
        <v>Arizona</v>
      </c>
      <c r="N141" s="5" t="str">
        <f t="shared" si="6"/>
        <v>F</v>
      </c>
      <c r="O141" s="5" t="str">
        <f t="shared" si="7"/>
        <v>Bachelor</v>
      </c>
    </row>
    <row r="142" spans="1:15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 t="str">
        <f t="shared" si="8"/>
        <v>Oregon</v>
      </c>
      <c r="N142" s="5" t="str">
        <f t="shared" si="6"/>
        <v>M</v>
      </c>
      <c r="O142" s="5" t="str">
        <f t="shared" si="7"/>
        <v>College</v>
      </c>
    </row>
    <row r="143" spans="1:15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 t="str">
        <f t="shared" si="8"/>
        <v>Arizona</v>
      </c>
      <c r="N143" s="5" t="str">
        <f t="shared" si="6"/>
        <v>M</v>
      </c>
      <c r="O143" s="5" t="str">
        <f t="shared" si="7"/>
        <v>Master</v>
      </c>
    </row>
    <row r="144" spans="1:15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 t="str">
        <f t="shared" si="8"/>
        <v>California</v>
      </c>
      <c r="N144" s="5" t="str">
        <f t="shared" si="6"/>
        <v>F</v>
      </c>
      <c r="O144" s="5" t="str">
        <f t="shared" si="7"/>
        <v>High School or Below</v>
      </c>
    </row>
    <row r="145" spans="1:15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 t="str">
        <f t="shared" si="8"/>
        <v>Washington</v>
      </c>
      <c r="N145" s="5" t="str">
        <f t="shared" si="6"/>
        <v>F</v>
      </c>
      <c r="O145" s="5" t="str">
        <f t="shared" si="7"/>
        <v>Doctor</v>
      </c>
    </row>
    <row r="146" spans="1:15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 t="str">
        <f t="shared" si="8"/>
        <v>Oregon</v>
      </c>
      <c r="N146" s="5" t="str">
        <f t="shared" si="6"/>
        <v>F</v>
      </c>
      <c r="O146" s="5" t="str">
        <f t="shared" si="7"/>
        <v>High School or Below</v>
      </c>
    </row>
    <row r="147" spans="1:15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 t="str">
        <f t="shared" si="8"/>
        <v>Nevada</v>
      </c>
      <c r="N147" s="5" t="str">
        <f t="shared" si="6"/>
        <v>M</v>
      </c>
      <c r="O147" s="5" t="str">
        <f t="shared" si="7"/>
        <v>Bachelor</v>
      </c>
    </row>
    <row r="148" spans="1:15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 t="str">
        <f t="shared" si="8"/>
        <v>California</v>
      </c>
      <c r="N148" s="5" t="str">
        <f t="shared" si="6"/>
        <v>F</v>
      </c>
      <c r="O148" s="5" t="str">
        <f t="shared" si="7"/>
        <v>College</v>
      </c>
    </row>
    <row r="149" spans="1:15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 t="str">
        <f t="shared" si="8"/>
        <v>Arizona</v>
      </c>
      <c r="N149" s="5" t="str">
        <f t="shared" si="6"/>
        <v>F</v>
      </c>
      <c r="O149" s="5" t="str">
        <f t="shared" si="7"/>
        <v>Bachelor</v>
      </c>
    </row>
    <row r="150" spans="1:15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 t="str">
        <f t="shared" si="8"/>
        <v>Arizona</v>
      </c>
      <c r="N150" s="5" t="str">
        <f t="shared" si="6"/>
        <v>F</v>
      </c>
      <c r="O150" s="5" t="str">
        <f t="shared" si="7"/>
        <v>High School or Below</v>
      </c>
    </row>
    <row r="151" spans="1:15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 t="str">
        <f t="shared" si="8"/>
        <v>Oregon</v>
      </c>
      <c r="N151" s="5" t="str">
        <f t="shared" si="6"/>
        <v>M</v>
      </c>
      <c r="O151" s="5" t="str">
        <f t="shared" si="7"/>
        <v>College</v>
      </c>
    </row>
    <row r="152" spans="1:15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 t="str">
        <f t="shared" si="8"/>
        <v>Washington</v>
      </c>
      <c r="N152" s="5" t="str">
        <f t="shared" si="6"/>
        <v>F</v>
      </c>
      <c r="O152" s="5" t="str">
        <f t="shared" si="7"/>
        <v>High School or Below</v>
      </c>
    </row>
    <row r="153" spans="1:15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 t="str">
        <f t="shared" si="8"/>
        <v>Washington</v>
      </c>
      <c r="N153" s="5" t="str">
        <f t="shared" si="6"/>
        <v>M</v>
      </c>
      <c r="O153" s="5" t="str">
        <f t="shared" si="7"/>
        <v>Master</v>
      </c>
    </row>
    <row r="154" spans="1:15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 t="str">
        <f t="shared" si="8"/>
        <v>Arizona</v>
      </c>
      <c r="N154" s="5" t="str">
        <f t="shared" si="6"/>
        <v>M</v>
      </c>
      <c r="O154" s="5" t="str">
        <f t="shared" si="7"/>
        <v>High School or Below</v>
      </c>
    </row>
    <row r="155" spans="1:15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 t="str">
        <f t="shared" si="8"/>
        <v>Arizona</v>
      </c>
      <c r="N155" s="5" t="str">
        <f t="shared" si="6"/>
        <v>F</v>
      </c>
      <c r="O155" s="5" t="str">
        <f t="shared" si="7"/>
        <v>Bachelor</v>
      </c>
    </row>
    <row r="156" spans="1:15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 t="str">
        <f t="shared" si="8"/>
        <v>California</v>
      </c>
      <c r="N156" s="5" t="str">
        <f t="shared" si="6"/>
        <v>F</v>
      </c>
      <c r="O156" s="5" t="str">
        <f t="shared" si="7"/>
        <v>Bachelor</v>
      </c>
    </row>
    <row r="157" spans="1:15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 t="str">
        <f t="shared" si="8"/>
        <v>California</v>
      </c>
      <c r="N157" s="5" t="str">
        <f t="shared" si="6"/>
        <v>M</v>
      </c>
      <c r="O157" s="5" t="str">
        <f t="shared" si="7"/>
        <v>High School or Below</v>
      </c>
    </row>
    <row r="158" spans="1:15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 t="str">
        <f t="shared" si="8"/>
        <v>Oregon</v>
      </c>
      <c r="N158" s="5" t="str">
        <f t="shared" si="6"/>
        <v>M</v>
      </c>
      <c r="O158" s="5" t="str">
        <f t="shared" si="7"/>
        <v>College</v>
      </c>
    </row>
    <row r="159" spans="1:15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 t="str">
        <f t="shared" si="8"/>
        <v>Oregon</v>
      </c>
      <c r="N159" s="5" t="str">
        <f t="shared" si="6"/>
        <v>F</v>
      </c>
      <c r="O159" s="5" t="str">
        <f t="shared" si="7"/>
        <v>Bachelor</v>
      </c>
    </row>
    <row r="160" spans="1:15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 t="str">
        <f t="shared" si="8"/>
        <v>Arizona</v>
      </c>
      <c r="N160" s="5" t="str">
        <f t="shared" si="6"/>
        <v>M</v>
      </c>
      <c r="O160" s="5" t="str">
        <f t="shared" si="7"/>
        <v>College</v>
      </c>
    </row>
    <row r="161" spans="1:15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 t="str">
        <f t="shared" si="8"/>
        <v>Arizona</v>
      </c>
      <c r="N161" s="5" t="str">
        <f t="shared" si="6"/>
        <v>F</v>
      </c>
      <c r="O161" s="5" t="str">
        <f t="shared" si="7"/>
        <v>Bachelor</v>
      </c>
    </row>
    <row r="162" spans="1:15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 t="str">
        <f t="shared" si="8"/>
        <v>California</v>
      </c>
      <c r="N162" s="5" t="str">
        <f t="shared" si="6"/>
        <v>M</v>
      </c>
      <c r="O162" s="5" t="str">
        <f t="shared" si="7"/>
        <v>High School or Below</v>
      </c>
    </row>
    <row r="163" spans="1:15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 t="str">
        <f t="shared" si="8"/>
        <v>Washington</v>
      </c>
      <c r="N163" s="5" t="str">
        <f t="shared" si="6"/>
        <v>F</v>
      </c>
      <c r="O163" s="5" t="str">
        <f t="shared" si="7"/>
        <v>High School or Below</v>
      </c>
    </row>
    <row r="164" spans="1:15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 t="str">
        <f t="shared" si="8"/>
        <v>California</v>
      </c>
      <c r="N164" s="5" t="str">
        <f t="shared" si="6"/>
        <v>F</v>
      </c>
      <c r="O164" s="5" t="str">
        <f t="shared" si="7"/>
        <v>College</v>
      </c>
    </row>
    <row r="165" spans="1:15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 t="str">
        <f t="shared" si="8"/>
        <v>Washington</v>
      </c>
      <c r="N165" s="5" t="str">
        <f t="shared" si="6"/>
        <v>F</v>
      </c>
      <c r="O165" s="5" t="str">
        <f t="shared" si="7"/>
        <v>Doctor</v>
      </c>
    </row>
    <row r="166" spans="1:15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 t="str">
        <f t="shared" si="8"/>
        <v>California</v>
      </c>
      <c r="N166" s="5" t="str">
        <f t="shared" si="6"/>
        <v>M</v>
      </c>
      <c r="O166" s="5" t="str">
        <f t="shared" si="7"/>
        <v>Bachelor</v>
      </c>
    </row>
    <row r="167" spans="1:15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 t="str">
        <f t="shared" si="8"/>
        <v>Oregon</v>
      </c>
      <c r="N167" s="5" t="str">
        <f t="shared" si="6"/>
        <v>M</v>
      </c>
      <c r="O167" s="5" t="str">
        <f t="shared" si="7"/>
        <v>Master</v>
      </c>
    </row>
    <row r="168" spans="1:15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 t="str">
        <f t="shared" si="8"/>
        <v>California</v>
      </c>
      <c r="N168" s="5" t="str">
        <f t="shared" si="6"/>
        <v>F</v>
      </c>
      <c r="O168" s="5" t="str">
        <f t="shared" si="7"/>
        <v>Bachelor</v>
      </c>
    </row>
    <row r="169" spans="1:15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 t="str">
        <f t="shared" si="8"/>
        <v>California</v>
      </c>
      <c r="N169" s="5" t="str">
        <f t="shared" si="6"/>
        <v>F</v>
      </c>
      <c r="O169" s="5" t="str">
        <f t="shared" si="7"/>
        <v>High School or Below</v>
      </c>
    </row>
    <row r="170" spans="1:15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 t="str">
        <f t="shared" si="8"/>
        <v>Oregon</v>
      </c>
      <c r="N170" s="5" t="str">
        <f t="shared" si="6"/>
        <v>F</v>
      </c>
      <c r="O170" s="5" t="str">
        <f t="shared" si="7"/>
        <v>High School or Below</v>
      </c>
    </row>
    <row r="171" spans="1:15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 t="str">
        <f t="shared" si="8"/>
        <v>California</v>
      </c>
      <c r="N171" s="5" t="str">
        <f t="shared" si="6"/>
        <v>F</v>
      </c>
      <c r="O171" s="5" t="str">
        <f t="shared" si="7"/>
        <v>High School or Below</v>
      </c>
    </row>
    <row r="172" spans="1:15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 t="str">
        <f t="shared" si="8"/>
        <v>California</v>
      </c>
      <c r="N172" s="5" t="str">
        <f t="shared" si="6"/>
        <v>M</v>
      </c>
      <c r="O172" s="5" t="str">
        <f t="shared" si="7"/>
        <v>College</v>
      </c>
    </row>
    <row r="173" spans="1:15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 t="str">
        <f t="shared" si="8"/>
        <v>Oregon</v>
      </c>
      <c r="N173" s="5" t="str">
        <f t="shared" si="6"/>
        <v>F</v>
      </c>
      <c r="O173" s="5" t="str">
        <f t="shared" si="7"/>
        <v>Doctor</v>
      </c>
    </row>
    <row r="174" spans="1:15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 t="str">
        <f t="shared" si="8"/>
        <v>Nevada</v>
      </c>
      <c r="N174" s="5" t="str">
        <f t="shared" si="6"/>
        <v>F</v>
      </c>
      <c r="O174" s="5" t="str">
        <f t="shared" si="7"/>
        <v>College</v>
      </c>
    </row>
    <row r="175" spans="1:15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 t="str">
        <f t="shared" si="8"/>
        <v>Nevada</v>
      </c>
      <c r="N175" s="5" t="str">
        <f t="shared" si="6"/>
        <v>F</v>
      </c>
      <c r="O175" s="5" t="str">
        <f t="shared" si="7"/>
        <v>College</v>
      </c>
    </row>
    <row r="176" spans="1:15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 t="str">
        <f t="shared" si="8"/>
        <v>California</v>
      </c>
      <c r="N176" s="5" t="str">
        <f t="shared" si="6"/>
        <v>M</v>
      </c>
      <c r="O176" s="5" t="str">
        <f t="shared" si="7"/>
        <v>High School or Below</v>
      </c>
    </row>
    <row r="177" spans="1:15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 t="str">
        <f t="shared" si="8"/>
        <v>California</v>
      </c>
      <c r="N177" s="5" t="str">
        <f t="shared" si="6"/>
        <v>F</v>
      </c>
      <c r="O177" s="5" t="str">
        <f t="shared" si="7"/>
        <v>Bachelor</v>
      </c>
    </row>
    <row r="178" spans="1:15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 t="str">
        <f t="shared" si="8"/>
        <v>Washington</v>
      </c>
      <c r="N178" s="5" t="str">
        <f t="shared" si="6"/>
        <v>F</v>
      </c>
      <c r="O178" s="5" t="str">
        <f t="shared" si="7"/>
        <v>Doctor</v>
      </c>
    </row>
    <row r="179" spans="1:15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 t="str">
        <f t="shared" si="8"/>
        <v>Arizona</v>
      </c>
      <c r="N179" s="5" t="str">
        <f t="shared" si="6"/>
        <v>F</v>
      </c>
      <c r="O179" s="5" t="str">
        <f t="shared" si="7"/>
        <v>Bachelor</v>
      </c>
    </row>
    <row r="180" spans="1:15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 t="str">
        <f t="shared" si="8"/>
        <v>Washington</v>
      </c>
      <c r="N180" s="5" t="str">
        <f t="shared" si="6"/>
        <v>F</v>
      </c>
      <c r="O180" s="5" t="str">
        <f t="shared" si="7"/>
        <v>Bachelor</v>
      </c>
    </row>
    <row r="181" spans="1:15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 t="str">
        <f t="shared" si="8"/>
        <v>California</v>
      </c>
      <c r="N181" s="5" t="str">
        <f t="shared" si="6"/>
        <v>F</v>
      </c>
      <c r="O181" s="5" t="str">
        <f t="shared" si="7"/>
        <v>Bachelor</v>
      </c>
    </row>
    <row r="182" spans="1:15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 t="str">
        <f t="shared" si="8"/>
        <v>California</v>
      </c>
      <c r="N182" s="5" t="str">
        <f t="shared" si="6"/>
        <v>F</v>
      </c>
      <c r="O182" s="5" t="str">
        <f t="shared" si="7"/>
        <v>Bachelor</v>
      </c>
    </row>
    <row r="183" spans="1:15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 t="str">
        <f t="shared" si="8"/>
        <v>Nevada</v>
      </c>
      <c r="N183" s="5" t="str">
        <f t="shared" si="6"/>
        <v>F</v>
      </c>
      <c r="O183" s="5" t="str">
        <f t="shared" si="7"/>
        <v>Bachelor</v>
      </c>
    </row>
    <row r="184" spans="1:15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 t="str">
        <f t="shared" si="8"/>
        <v>Oregon</v>
      </c>
      <c r="N184" s="5" t="str">
        <f t="shared" si="6"/>
        <v>M</v>
      </c>
      <c r="O184" s="5" t="str">
        <f t="shared" si="7"/>
        <v>High School or Below</v>
      </c>
    </row>
    <row r="185" spans="1:15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 t="str">
        <f t="shared" si="8"/>
        <v>Nevada</v>
      </c>
      <c r="N185" s="5" t="str">
        <f t="shared" si="6"/>
        <v>M</v>
      </c>
      <c r="O185" s="5" t="str">
        <f t="shared" si="7"/>
        <v>Bachelor</v>
      </c>
    </row>
    <row r="186" spans="1:15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 t="str">
        <f t="shared" si="8"/>
        <v>California</v>
      </c>
      <c r="N186" s="5" t="str">
        <f t="shared" si="6"/>
        <v>M</v>
      </c>
      <c r="O186" s="5" t="str">
        <f t="shared" si="7"/>
        <v>Bachelor</v>
      </c>
    </row>
    <row r="187" spans="1:15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 t="str">
        <f t="shared" si="8"/>
        <v>California</v>
      </c>
      <c r="N187" s="5" t="str">
        <f t="shared" si="6"/>
        <v>F</v>
      </c>
      <c r="O187" s="5" t="str">
        <f t="shared" si="7"/>
        <v>High School or Below</v>
      </c>
    </row>
    <row r="188" spans="1:15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 t="str">
        <f t="shared" si="8"/>
        <v>California</v>
      </c>
      <c r="N188" s="5" t="str">
        <f t="shared" si="6"/>
        <v>F</v>
      </c>
      <c r="O188" s="5" t="str">
        <f t="shared" si="7"/>
        <v>College</v>
      </c>
    </row>
    <row r="189" spans="1:15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 t="str">
        <f t="shared" si="8"/>
        <v>Arizona</v>
      </c>
      <c r="N189" s="5" t="str">
        <f t="shared" si="6"/>
        <v>F</v>
      </c>
      <c r="O189" s="5" t="str">
        <f t="shared" si="7"/>
        <v>Bachelor</v>
      </c>
    </row>
    <row r="190" spans="1:15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 t="str">
        <f t="shared" si="8"/>
        <v>California</v>
      </c>
      <c r="N190" s="5" t="str">
        <f t="shared" si="6"/>
        <v>F</v>
      </c>
      <c r="O190" s="5" t="str">
        <f t="shared" si="7"/>
        <v>Bachelor</v>
      </c>
    </row>
    <row r="191" spans="1:15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 t="str">
        <f t="shared" si="8"/>
        <v>Oregon</v>
      </c>
      <c r="N191" s="5" t="str">
        <f t="shared" si="6"/>
        <v>M</v>
      </c>
      <c r="O191" s="5" t="str">
        <f t="shared" si="7"/>
        <v>College</v>
      </c>
    </row>
    <row r="192" spans="1:15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 t="str">
        <f t="shared" si="8"/>
        <v>California</v>
      </c>
      <c r="N192" s="5" t="str">
        <f t="shared" si="6"/>
        <v>M</v>
      </c>
      <c r="O192" s="5" t="str">
        <f t="shared" si="7"/>
        <v>Master</v>
      </c>
    </row>
    <row r="193" spans="1:15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 t="str">
        <f t="shared" si="8"/>
        <v>California</v>
      </c>
      <c r="N193" s="5" t="str">
        <f t="shared" si="6"/>
        <v>F</v>
      </c>
      <c r="O193" s="5" t="str">
        <f t="shared" si="7"/>
        <v>High School or Below</v>
      </c>
    </row>
    <row r="194" spans="1:15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 t="str">
        <f t="shared" si="8"/>
        <v>California</v>
      </c>
      <c r="N194" s="5" t="str">
        <f t="shared" ref="N194:N257" si="9">IF(OR(C194="F",C194="Femal",C194="female"),"F",IF(OR(C194="M",C194="Male"),"M","NA"))</f>
        <v>M</v>
      </c>
      <c r="O194" s="5" t="str">
        <f t="shared" ref="O194:O257" si="10">IF(OR(D194="Bachelor",D194="Bachelors"),"Bachelor",D194)</f>
        <v>Bachelor</v>
      </c>
    </row>
    <row r="195" spans="1:15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 t="str">
        <f t="shared" ref="M195:M258" si="11">IF(OR(B195="Arizona",B195="AZ"),"Arizona",IF(OR(B195="California",B195="Cali"),"California",IF(B195="Nevada","Nevada",IF(B195="Oregon","Oregon",IF(OR(B195="Washington",B195="WA"),"Washington",B195)))))</f>
        <v>Oregon</v>
      </c>
      <c r="N195" s="5" t="str">
        <f t="shared" si="9"/>
        <v>F</v>
      </c>
      <c r="O195" s="5" t="str">
        <f t="shared" si="10"/>
        <v>Bachelor</v>
      </c>
    </row>
    <row r="196" spans="1:15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 t="str">
        <f t="shared" si="11"/>
        <v>Arizona</v>
      </c>
      <c r="N196" s="5" t="str">
        <f t="shared" si="9"/>
        <v>F</v>
      </c>
      <c r="O196" s="5" t="str">
        <f t="shared" si="10"/>
        <v>High School or Below</v>
      </c>
    </row>
    <row r="197" spans="1:15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 t="str">
        <f t="shared" si="11"/>
        <v>Washington</v>
      </c>
      <c r="N197" s="5" t="str">
        <f t="shared" si="9"/>
        <v>F</v>
      </c>
      <c r="O197" s="5" t="str">
        <f t="shared" si="10"/>
        <v>Bachelor</v>
      </c>
    </row>
    <row r="198" spans="1:15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 t="str">
        <f t="shared" si="11"/>
        <v>Oregon</v>
      </c>
      <c r="N198" s="5" t="str">
        <f t="shared" si="9"/>
        <v>M</v>
      </c>
      <c r="O198" s="5" t="str">
        <f t="shared" si="10"/>
        <v>High School or Below</v>
      </c>
    </row>
    <row r="199" spans="1:15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 t="str">
        <f t="shared" si="11"/>
        <v>Oregon</v>
      </c>
      <c r="N199" s="5" t="str">
        <f t="shared" si="9"/>
        <v>M</v>
      </c>
      <c r="O199" s="5" t="str">
        <f t="shared" si="10"/>
        <v>Bachelor</v>
      </c>
    </row>
    <row r="200" spans="1:15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 t="str">
        <f t="shared" si="11"/>
        <v>Washington</v>
      </c>
      <c r="N200" s="5" t="str">
        <f t="shared" si="9"/>
        <v>F</v>
      </c>
      <c r="O200" s="5" t="str">
        <f t="shared" si="10"/>
        <v>High School or Below</v>
      </c>
    </row>
    <row r="201" spans="1:15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 t="str">
        <f t="shared" si="11"/>
        <v>California</v>
      </c>
      <c r="N201" s="5" t="str">
        <f t="shared" si="9"/>
        <v>M</v>
      </c>
      <c r="O201" s="5" t="str">
        <f t="shared" si="10"/>
        <v>College</v>
      </c>
    </row>
    <row r="202" spans="1:15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 t="str">
        <f t="shared" si="11"/>
        <v>California</v>
      </c>
      <c r="N202" s="5" t="str">
        <f t="shared" si="9"/>
        <v>F</v>
      </c>
      <c r="O202" s="5" t="str">
        <f t="shared" si="10"/>
        <v>Master</v>
      </c>
    </row>
    <row r="203" spans="1:15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 t="str">
        <f t="shared" si="11"/>
        <v>Nevada</v>
      </c>
      <c r="N203" s="5" t="str">
        <f t="shared" si="9"/>
        <v>F</v>
      </c>
      <c r="O203" s="5" t="str">
        <f t="shared" si="10"/>
        <v>Bachelor</v>
      </c>
    </row>
    <row r="204" spans="1:15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 t="str">
        <f t="shared" si="11"/>
        <v>Arizona</v>
      </c>
      <c r="N204" s="5" t="str">
        <f t="shared" si="9"/>
        <v>F</v>
      </c>
      <c r="O204" s="5" t="str">
        <f t="shared" si="10"/>
        <v>High School or Below</v>
      </c>
    </row>
    <row r="205" spans="1:15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 t="str">
        <f t="shared" si="11"/>
        <v>California</v>
      </c>
      <c r="N205" s="5" t="str">
        <f t="shared" si="9"/>
        <v>M</v>
      </c>
      <c r="O205" s="5" t="str">
        <f t="shared" si="10"/>
        <v>College</v>
      </c>
    </row>
    <row r="206" spans="1:15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 t="str">
        <f t="shared" si="11"/>
        <v>California</v>
      </c>
      <c r="N206" s="5" t="str">
        <f t="shared" si="9"/>
        <v>M</v>
      </c>
      <c r="O206" s="5" t="str">
        <f t="shared" si="10"/>
        <v>High School or Below</v>
      </c>
    </row>
    <row r="207" spans="1:15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 t="str">
        <f t="shared" si="11"/>
        <v>California</v>
      </c>
      <c r="N207" s="5" t="str">
        <f t="shared" si="9"/>
        <v>M</v>
      </c>
      <c r="O207" s="5" t="str">
        <f t="shared" si="10"/>
        <v>College</v>
      </c>
    </row>
    <row r="208" spans="1:15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 t="str">
        <f t="shared" si="11"/>
        <v>California</v>
      </c>
      <c r="N208" s="5" t="str">
        <f t="shared" si="9"/>
        <v>F</v>
      </c>
      <c r="O208" s="5" t="str">
        <f t="shared" si="10"/>
        <v>College</v>
      </c>
    </row>
    <row r="209" spans="1:15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 t="str">
        <f t="shared" si="11"/>
        <v>California</v>
      </c>
      <c r="N209" s="5" t="str">
        <f t="shared" si="9"/>
        <v>M</v>
      </c>
      <c r="O209" s="5" t="str">
        <f t="shared" si="10"/>
        <v>College</v>
      </c>
    </row>
    <row r="210" spans="1:15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 t="str">
        <f t="shared" si="11"/>
        <v>Oregon</v>
      </c>
      <c r="N210" s="5" t="str">
        <f t="shared" si="9"/>
        <v>F</v>
      </c>
      <c r="O210" s="5" t="str">
        <f t="shared" si="10"/>
        <v>High School or Below</v>
      </c>
    </row>
    <row r="211" spans="1:15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 t="str">
        <f t="shared" si="11"/>
        <v>Washington</v>
      </c>
      <c r="N211" s="5" t="str">
        <f t="shared" si="9"/>
        <v>F</v>
      </c>
      <c r="O211" s="5" t="str">
        <f t="shared" si="10"/>
        <v>Bachelor</v>
      </c>
    </row>
    <row r="212" spans="1:15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 t="str">
        <f t="shared" si="11"/>
        <v>California</v>
      </c>
      <c r="N212" s="5" t="str">
        <f t="shared" si="9"/>
        <v>M</v>
      </c>
      <c r="O212" s="5" t="str">
        <f t="shared" si="10"/>
        <v>High School or Below</v>
      </c>
    </row>
    <row r="213" spans="1:15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 t="str">
        <f t="shared" si="11"/>
        <v>California</v>
      </c>
      <c r="N213" s="5" t="str">
        <f t="shared" si="9"/>
        <v>M</v>
      </c>
      <c r="O213" s="5" t="str">
        <f t="shared" si="10"/>
        <v>College</v>
      </c>
    </row>
    <row r="214" spans="1:15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 t="str">
        <f t="shared" si="11"/>
        <v>Washington</v>
      </c>
      <c r="N214" s="5" t="str">
        <f t="shared" si="9"/>
        <v>M</v>
      </c>
      <c r="O214" s="5" t="str">
        <f t="shared" si="10"/>
        <v>College</v>
      </c>
    </row>
    <row r="215" spans="1:15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 t="str">
        <f t="shared" si="11"/>
        <v>California</v>
      </c>
      <c r="N215" s="5" t="str">
        <f t="shared" si="9"/>
        <v>F</v>
      </c>
      <c r="O215" s="5" t="str">
        <f t="shared" si="10"/>
        <v>High School or Below</v>
      </c>
    </row>
    <row r="216" spans="1:15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 t="str">
        <f t="shared" si="11"/>
        <v>Arizona</v>
      </c>
      <c r="N216" s="5" t="str">
        <f t="shared" si="9"/>
        <v>M</v>
      </c>
      <c r="O216" s="5" t="str">
        <f t="shared" si="10"/>
        <v>College</v>
      </c>
    </row>
    <row r="217" spans="1:15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 t="str">
        <f t="shared" si="11"/>
        <v>Oregon</v>
      </c>
      <c r="N217" s="5" t="str">
        <f t="shared" si="9"/>
        <v>F</v>
      </c>
      <c r="O217" s="5" t="str">
        <f t="shared" si="10"/>
        <v>College</v>
      </c>
    </row>
    <row r="218" spans="1:15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 t="str">
        <f t="shared" si="11"/>
        <v>Oregon</v>
      </c>
      <c r="N218" s="5" t="str">
        <f t="shared" si="9"/>
        <v>M</v>
      </c>
      <c r="O218" s="5" t="str">
        <f t="shared" si="10"/>
        <v>College</v>
      </c>
    </row>
    <row r="219" spans="1:15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 t="str">
        <f t="shared" si="11"/>
        <v>Oregon</v>
      </c>
      <c r="N219" s="5" t="str">
        <f t="shared" si="9"/>
        <v>F</v>
      </c>
      <c r="O219" s="5" t="str">
        <f t="shared" si="10"/>
        <v>High School or Below</v>
      </c>
    </row>
    <row r="220" spans="1:15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 t="str">
        <f t="shared" si="11"/>
        <v>Washington</v>
      </c>
      <c r="N220" s="5" t="str">
        <f t="shared" si="9"/>
        <v>F</v>
      </c>
      <c r="O220" s="5" t="str">
        <f t="shared" si="10"/>
        <v>High School or Below</v>
      </c>
    </row>
    <row r="221" spans="1:15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 t="str">
        <f t="shared" si="11"/>
        <v>California</v>
      </c>
      <c r="N221" s="5" t="str">
        <f t="shared" si="9"/>
        <v>M</v>
      </c>
      <c r="O221" s="5" t="str">
        <f t="shared" si="10"/>
        <v>College</v>
      </c>
    </row>
    <row r="222" spans="1:15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 t="str">
        <f t="shared" si="11"/>
        <v>Oregon</v>
      </c>
      <c r="N222" s="5" t="str">
        <f t="shared" si="9"/>
        <v>F</v>
      </c>
      <c r="O222" s="5" t="str">
        <f t="shared" si="10"/>
        <v>Bachelor</v>
      </c>
    </row>
    <row r="223" spans="1:15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 t="str">
        <f t="shared" si="11"/>
        <v>California</v>
      </c>
      <c r="N223" s="5" t="str">
        <f t="shared" si="9"/>
        <v>M</v>
      </c>
      <c r="O223" s="5" t="str">
        <f t="shared" si="10"/>
        <v>Bachelor</v>
      </c>
    </row>
    <row r="224" spans="1:15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 t="str">
        <f t="shared" si="11"/>
        <v>Nevada</v>
      </c>
      <c r="N224" s="5" t="str">
        <f t="shared" si="9"/>
        <v>M</v>
      </c>
      <c r="O224" s="5" t="str">
        <f t="shared" si="10"/>
        <v>High School or Below</v>
      </c>
    </row>
    <row r="225" spans="1:15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 t="str">
        <f t="shared" si="11"/>
        <v>Washington</v>
      </c>
      <c r="N225" s="5" t="str">
        <f t="shared" si="9"/>
        <v>M</v>
      </c>
      <c r="O225" s="5" t="str">
        <f t="shared" si="10"/>
        <v>High School or Below</v>
      </c>
    </row>
    <row r="226" spans="1:15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 t="str">
        <f t="shared" si="11"/>
        <v>Oregon</v>
      </c>
      <c r="N226" s="5" t="str">
        <f t="shared" si="9"/>
        <v>F</v>
      </c>
      <c r="O226" s="5" t="str">
        <f t="shared" si="10"/>
        <v>College</v>
      </c>
    </row>
    <row r="227" spans="1:15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 t="str">
        <f t="shared" si="11"/>
        <v>Oregon</v>
      </c>
      <c r="N227" s="5" t="str">
        <f t="shared" si="9"/>
        <v>F</v>
      </c>
      <c r="O227" s="5" t="str">
        <f t="shared" si="10"/>
        <v>College</v>
      </c>
    </row>
    <row r="228" spans="1:15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 t="str">
        <f t="shared" si="11"/>
        <v>Nevada</v>
      </c>
      <c r="N228" s="5" t="str">
        <f t="shared" si="9"/>
        <v>M</v>
      </c>
      <c r="O228" s="5" t="str">
        <f t="shared" si="10"/>
        <v>College</v>
      </c>
    </row>
    <row r="229" spans="1:15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 t="str">
        <f t="shared" si="11"/>
        <v>Nevada</v>
      </c>
      <c r="N229" s="5" t="str">
        <f t="shared" si="9"/>
        <v>F</v>
      </c>
      <c r="O229" s="5" t="str">
        <f t="shared" si="10"/>
        <v>High School or Below</v>
      </c>
    </row>
    <row r="230" spans="1:15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 t="str">
        <f t="shared" si="11"/>
        <v>Arizona</v>
      </c>
      <c r="N230" s="5" t="str">
        <f t="shared" si="9"/>
        <v>M</v>
      </c>
      <c r="O230" s="5" t="str">
        <f t="shared" si="10"/>
        <v>High School or Below</v>
      </c>
    </row>
    <row r="231" spans="1:15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 t="str">
        <f t="shared" si="11"/>
        <v>California</v>
      </c>
      <c r="N231" s="5" t="str">
        <f t="shared" si="9"/>
        <v>M</v>
      </c>
      <c r="O231" s="5" t="str">
        <f t="shared" si="10"/>
        <v>Bachelor</v>
      </c>
    </row>
    <row r="232" spans="1:15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 t="str">
        <f t="shared" si="11"/>
        <v>Arizona</v>
      </c>
      <c r="N232" s="5" t="str">
        <f t="shared" si="9"/>
        <v>F</v>
      </c>
      <c r="O232" s="5" t="str">
        <f t="shared" si="10"/>
        <v>Bachelor</v>
      </c>
    </row>
    <row r="233" spans="1:15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 t="str">
        <f t="shared" si="11"/>
        <v>Arizona</v>
      </c>
      <c r="N233" s="5" t="str">
        <f t="shared" si="9"/>
        <v>M</v>
      </c>
      <c r="O233" s="5" t="str">
        <f t="shared" si="10"/>
        <v>College</v>
      </c>
    </row>
    <row r="234" spans="1:15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 t="str">
        <f t="shared" si="11"/>
        <v>Arizona</v>
      </c>
      <c r="N234" s="5" t="str">
        <f t="shared" si="9"/>
        <v>M</v>
      </c>
      <c r="O234" s="5" t="str">
        <f t="shared" si="10"/>
        <v>High School or Below</v>
      </c>
    </row>
    <row r="235" spans="1:15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 t="str">
        <f t="shared" si="11"/>
        <v>Oregon</v>
      </c>
      <c r="N235" s="5" t="str">
        <f t="shared" si="9"/>
        <v>F</v>
      </c>
      <c r="O235" s="5" t="str">
        <f t="shared" si="10"/>
        <v>Bachelor</v>
      </c>
    </row>
    <row r="236" spans="1:15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 t="str">
        <f t="shared" si="11"/>
        <v>Arizona</v>
      </c>
      <c r="N236" s="5" t="str">
        <f t="shared" si="9"/>
        <v>M</v>
      </c>
      <c r="O236" s="5" t="str">
        <f t="shared" si="10"/>
        <v>High School or Below</v>
      </c>
    </row>
    <row r="237" spans="1:15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 t="str">
        <f t="shared" si="11"/>
        <v>California</v>
      </c>
      <c r="N237" s="5" t="str">
        <f t="shared" si="9"/>
        <v>M</v>
      </c>
      <c r="O237" s="5" t="str">
        <f t="shared" si="10"/>
        <v>Bachelor</v>
      </c>
    </row>
    <row r="238" spans="1:15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 t="str">
        <f t="shared" si="11"/>
        <v>California</v>
      </c>
      <c r="N238" s="5" t="str">
        <f t="shared" si="9"/>
        <v>F</v>
      </c>
      <c r="O238" s="5" t="str">
        <f t="shared" si="10"/>
        <v>Bachelor</v>
      </c>
    </row>
    <row r="239" spans="1:15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 t="str">
        <f t="shared" si="11"/>
        <v>Washington</v>
      </c>
      <c r="N239" s="5" t="str">
        <f t="shared" si="9"/>
        <v>M</v>
      </c>
      <c r="O239" s="5" t="str">
        <f t="shared" si="10"/>
        <v>College</v>
      </c>
    </row>
    <row r="240" spans="1:15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 t="str">
        <f t="shared" si="11"/>
        <v>Washington</v>
      </c>
      <c r="N240" s="5" t="str">
        <f t="shared" si="9"/>
        <v>M</v>
      </c>
      <c r="O240" s="5" t="str">
        <f t="shared" si="10"/>
        <v>College</v>
      </c>
    </row>
    <row r="241" spans="1:15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 t="str">
        <f t="shared" si="11"/>
        <v>Washington</v>
      </c>
      <c r="N241" s="5" t="str">
        <f t="shared" si="9"/>
        <v>F</v>
      </c>
      <c r="O241" s="5" t="str">
        <f t="shared" si="10"/>
        <v>Bachelor</v>
      </c>
    </row>
    <row r="242" spans="1:15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 t="str">
        <f t="shared" si="11"/>
        <v>Nevada</v>
      </c>
      <c r="N242" s="5" t="str">
        <f t="shared" si="9"/>
        <v>F</v>
      </c>
      <c r="O242" s="5" t="str">
        <f t="shared" si="10"/>
        <v>High School or Below</v>
      </c>
    </row>
    <row r="243" spans="1:15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 t="str">
        <f t="shared" si="11"/>
        <v>Arizona</v>
      </c>
      <c r="N243" s="5" t="str">
        <f t="shared" si="9"/>
        <v>F</v>
      </c>
      <c r="O243" s="5" t="str">
        <f t="shared" si="10"/>
        <v>College</v>
      </c>
    </row>
    <row r="244" spans="1:15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 t="str">
        <f t="shared" si="11"/>
        <v>Oregon</v>
      </c>
      <c r="N244" s="5" t="str">
        <f t="shared" si="9"/>
        <v>F</v>
      </c>
      <c r="O244" s="5" t="str">
        <f t="shared" si="10"/>
        <v>College</v>
      </c>
    </row>
    <row r="245" spans="1:15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 t="str">
        <f t="shared" si="11"/>
        <v>California</v>
      </c>
      <c r="N245" s="5" t="str">
        <f t="shared" si="9"/>
        <v>M</v>
      </c>
      <c r="O245" s="5" t="str">
        <f t="shared" si="10"/>
        <v>College</v>
      </c>
    </row>
    <row r="246" spans="1:15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 t="str">
        <f t="shared" si="11"/>
        <v>California</v>
      </c>
      <c r="N246" s="5" t="str">
        <f t="shared" si="9"/>
        <v>F</v>
      </c>
      <c r="O246" s="5" t="str">
        <f t="shared" si="10"/>
        <v>College</v>
      </c>
    </row>
    <row r="247" spans="1:15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 t="str">
        <f t="shared" si="11"/>
        <v>California</v>
      </c>
      <c r="N247" s="5" t="str">
        <f t="shared" si="9"/>
        <v>M</v>
      </c>
      <c r="O247" s="5" t="str">
        <f t="shared" si="10"/>
        <v>Bachelor</v>
      </c>
    </row>
    <row r="248" spans="1:15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 t="str">
        <f t="shared" si="11"/>
        <v>Arizona</v>
      </c>
      <c r="N248" s="5" t="str">
        <f t="shared" si="9"/>
        <v>F</v>
      </c>
      <c r="O248" s="5" t="str">
        <f t="shared" si="10"/>
        <v>Bachelor</v>
      </c>
    </row>
    <row r="249" spans="1:15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 t="str">
        <f t="shared" si="11"/>
        <v>Arizona</v>
      </c>
      <c r="N249" s="5" t="str">
        <f t="shared" si="9"/>
        <v>F</v>
      </c>
      <c r="O249" s="5" t="str">
        <f t="shared" si="10"/>
        <v>High School or Below</v>
      </c>
    </row>
    <row r="250" spans="1:15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 t="str">
        <f t="shared" si="11"/>
        <v>Oregon</v>
      </c>
      <c r="N250" s="5" t="str">
        <f t="shared" si="9"/>
        <v>M</v>
      </c>
      <c r="O250" s="5" t="str">
        <f t="shared" si="10"/>
        <v>Bachelor</v>
      </c>
    </row>
    <row r="251" spans="1:15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 t="str">
        <f t="shared" si="11"/>
        <v>California</v>
      </c>
      <c r="N251" s="5" t="str">
        <f t="shared" si="9"/>
        <v>M</v>
      </c>
      <c r="O251" s="5" t="str">
        <f t="shared" si="10"/>
        <v>Master</v>
      </c>
    </row>
    <row r="252" spans="1:15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 t="str">
        <f t="shared" si="11"/>
        <v>Arizona</v>
      </c>
      <c r="N252" s="5" t="str">
        <f t="shared" si="9"/>
        <v>F</v>
      </c>
      <c r="O252" s="5" t="str">
        <f t="shared" si="10"/>
        <v>High School or Below</v>
      </c>
    </row>
    <row r="253" spans="1:15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 t="str">
        <f t="shared" si="11"/>
        <v>Nevada</v>
      </c>
      <c r="N253" s="5" t="str">
        <f t="shared" si="9"/>
        <v>F</v>
      </c>
      <c r="O253" s="5" t="str">
        <f t="shared" si="10"/>
        <v>Bachelor</v>
      </c>
    </row>
    <row r="254" spans="1:15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 t="str">
        <f t="shared" si="11"/>
        <v>Arizona</v>
      </c>
      <c r="N254" s="5" t="str">
        <f t="shared" si="9"/>
        <v>M</v>
      </c>
      <c r="O254" s="5" t="str">
        <f t="shared" si="10"/>
        <v>Doctor</v>
      </c>
    </row>
    <row r="255" spans="1:15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 t="str">
        <f t="shared" si="11"/>
        <v>Washington</v>
      </c>
      <c r="N255" s="5" t="str">
        <f t="shared" si="9"/>
        <v>F</v>
      </c>
      <c r="O255" s="5" t="str">
        <f t="shared" si="10"/>
        <v>College</v>
      </c>
    </row>
    <row r="256" spans="1:15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 t="str">
        <f t="shared" si="11"/>
        <v>Oregon</v>
      </c>
      <c r="N256" s="5" t="str">
        <f t="shared" si="9"/>
        <v>M</v>
      </c>
      <c r="O256" s="5" t="str">
        <f t="shared" si="10"/>
        <v>Bachelor</v>
      </c>
    </row>
    <row r="257" spans="1:15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 t="str">
        <f t="shared" si="11"/>
        <v>Nevada</v>
      </c>
      <c r="N257" s="5" t="str">
        <f t="shared" si="9"/>
        <v>M</v>
      </c>
      <c r="O257" s="5" t="str">
        <f t="shared" si="10"/>
        <v>High School or Below</v>
      </c>
    </row>
    <row r="258" spans="1:15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 t="str">
        <f t="shared" si="11"/>
        <v>Oregon</v>
      </c>
      <c r="N258" s="5" t="str">
        <f t="shared" ref="N258:N321" si="12">IF(OR(C258="F",C258="Femal",C258="female"),"F",IF(OR(C258="M",C258="Male"),"M","NA"))</f>
        <v>F</v>
      </c>
      <c r="O258" s="5" t="str">
        <f t="shared" ref="O258:O321" si="13">IF(OR(D258="Bachelor",D258="Bachelors"),"Bachelor",D258)</f>
        <v>Bachelor</v>
      </c>
    </row>
    <row r="259" spans="1:15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 t="str">
        <f t="shared" ref="M259:M322" si="14">IF(OR(B259="Arizona",B259="AZ"),"Arizona",IF(OR(B259="California",B259="Cali"),"California",IF(B259="Nevada","Nevada",IF(B259="Oregon","Oregon",IF(OR(B259="Washington",B259="WA"),"Washington",B259)))))</f>
        <v>California</v>
      </c>
      <c r="N259" s="5" t="str">
        <f t="shared" si="12"/>
        <v>F</v>
      </c>
      <c r="O259" s="5" t="str">
        <f t="shared" si="13"/>
        <v>Master</v>
      </c>
    </row>
    <row r="260" spans="1:15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 t="str">
        <f t="shared" si="14"/>
        <v>Washington</v>
      </c>
      <c r="N260" s="5" t="str">
        <f t="shared" si="12"/>
        <v>M</v>
      </c>
      <c r="O260" s="5" t="str">
        <f t="shared" si="13"/>
        <v>Bachelor</v>
      </c>
    </row>
    <row r="261" spans="1:15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 t="str">
        <f t="shared" si="14"/>
        <v>Oregon</v>
      </c>
      <c r="N261" s="5" t="str">
        <f t="shared" si="12"/>
        <v>F</v>
      </c>
      <c r="O261" s="5" t="str">
        <f t="shared" si="13"/>
        <v>Bachelor</v>
      </c>
    </row>
    <row r="262" spans="1:15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 t="str">
        <f t="shared" si="14"/>
        <v>California</v>
      </c>
      <c r="N262" s="5" t="str">
        <f t="shared" si="12"/>
        <v>M</v>
      </c>
      <c r="O262" s="5" t="str">
        <f t="shared" si="13"/>
        <v>Bachelor</v>
      </c>
    </row>
    <row r="263" spans="1:15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 t="str">
        <f t="shared" si="14"/>
        <v>California</v>
      </c>
      <c r="N263" s="5" t="str">
        <f t="shared" si="12"/>
        <v>F</v>
      </c>
      <c r="O263" s="5" t="str">
        <f t="shared" si="13"/>
        <v>College</v>
      </c>
    </row>
    <row r="264" spans="1:15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 t="str">
        <f t="shared" si="14"/>
        <v>Arizona</v>
      </c>
      <c r="N264" s="5" t="str">
        <f t="shared" si="12"/>
        <v>F</v>
      </c>
      <c r="O264" s="5" t="str">
        <f t="shared" si="13"/>
        <v>College</v>
      </c>
    </row>
    <row r="265" spans="1:15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 t="str">
        <f t="shared" si="14"/>
        <v>Arizona</v>
      </c>
      <c r="N265" s="5" t="str">
        <f t="shared" si="12"/>
        <v>M</v>
      </c>
      <c r="O265" s="5" t="str">
        <f t="shared" si="13"/>
        <v>High School or Below</v>
      </c>
    </row>
    <row r="266" spans="1:15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 t="str">
        <f t="shared" si="14"/>
        <v>California</v>
      </c>
      <c r="N266" s="5" t="str">
        <f t="shared" si="12"/>
        <v>M</v>
      </c>
      <c r="O266" s="5" t="str">
        <f t="shared" si="13"/>
        <v>Bachelor</v>
      </c>
    </row>
    <row r="267" spans="1:15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 t="str">
        <f t="shared" si="14"/>
        <v>Oregon</v>
      </c>
      <c r="N267" s="5" t="str">
        <f t="shared" si="12"/>
        <v>M</v>
      </c>
      <c r="O267" s="5" t="str">
        <f t="shared" si="13"/>
        <v>College</v>
      </c>
    </row>
    <row r="268" spans="1:15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 t="str">
        <f t="shared" si="14"/>
        <v>Arizona</v>
      </c>
      <c r="N268" s="5" t="str">
        <f t="shared" si="12"/>
        <v>F</v>
      </c>
      <c r="O268" s="5" t="str">
        <f t="shared" si="13"/>
        <v>Master</v>
      </c>
    </row>
    <row r="269" spans="1:15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 t="str">
        <f t="shared" si="14"/>
        <v>Arizona</v>
      </c>
      <c r="N269" s="5" t="str">
        <f t="shared" si="12"/>
        <v>F</v>
      </c>
      <c r="O269" s="5" t="str">
        <f t="shared" si="13"/>
        <v>Bachelor</v>
      </c>
    </row>
    <row r="270" spans="1:15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 t="str">
        <f t="shared" si="14"/>
        <v>California</v>
      </c>
      <c r="N270" s="5" t="str">
        <f t="shared" si="12"/>
        <v>M</v>
      </c>
      <c r="O270" s="5" t="str">
        <f t="shared" si="13"/>
        <v>College</v>
      </c>
    </row>
    <row r="271" spans="1:15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 t="str">
        <f t="shared" si="14"/>
        <v>Arizona</v>
      </c>
      <c r="N271" s="5" t="str">
        <f t="shared" si="12"/>
        <v>F</v>
      </c>
      <c r="O271" s="5" t="str">
        <f t="shared" si="13"/>
        <v>High School or Below</v>
      </c>
    </row>
    <row r="272" spans="1:15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 t="str">
        <f t="shared" si="14"/>
        <v>Nevada</v>
      </c>
      <c r="N272" s="5" t="str">
        <f t="shared" si="12"/>
        <v>F</v>
      </c>
      <c r="O272" s="5" t="str">
        <f t="shared" si="13"/>
        <v>Master</v>
      </c>
    </row>
    <row r="273" spans="1:15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 t="str">
        <f t="shared" si="14"/>
        <v>Washington</v>
      </c>
      <c r="N273" s="5" t="str">
        <f t="shared" si="12"/>
        <v>M</v>
      </c>
      <c r="O273" s="5" t="str">
        <f t="shared" si="13"/>
        <v>High School or Below</v>
      </c>
    </row>
    <row r="274" spans="1:15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 t="str">
        <f t="shared" si="14"/>
        <v>Oregon</v>
      </c>
      <c r="N274" s="5" t="str">
        <f t="shared" si="12"/>
        <v>M</v>
      </c>
      <c r="O274" s="5" t="str">
        <f t="shared" si="13"/>
        <v>High School or Below</v>
      </c>
    </row>
    <row r="275" spans="1:15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 t="str">
        <f t="shared" si="14"/>
        <v>Arizona</v>
      </c>
      <c r="N275" s="5" t="str">
        <f t="shared" si="12"/>
        <v>F</v>
      </c>
      <c r="O275" s="5" t="str">
        <f t="shared" si="13"/>
        <v>High School or Below</v>
      </c>
    </row>
    <row r="276" spans="1:15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 t="str">
        <f t="shared" si="14"/>
        <v>Washington</v>
      </c>
      <c r="N276" s="5" t="str">
        <f t="shared" si="12"/>
        <v>F</v>
      </c>
      <c r="O276" s="5" t="str">
        <f t="shared" si="13"/>
        <v>Bachelor</v>
      </c>
    </row>
    <row r="277" spans="1:15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 t="str">
        <f t="shared" si="14"/>
        <v>Oregon</v>
      </c>
      <c r="N277" s="5" t="str">
        <f t="shared" si="12"/>
        <v>M</v>
      </c>
      <c r="O277" s="5" t="str">
        <f t="shared" si="13"/>
        <v>Master</v>
      </c>
    </row>
    <row r="278" spans="1:15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 t="str">
        <f t="shared" si="14"/>
        <v>Arizona</v>
      </c>
      <c r="N278" s="5" t="str">
        <f t="shared" si="12"/>
        <v>M</v>
      </c>
      <c r="O278" s="5" t="str">
        <f t="shared" si="13"/>
        <v>College</v>
      </c>
    </row>
    <row r="279" spans="1:15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 t="str">
        <f t="shared" si="14"/>
        <v>Arizona</v>
      </c>
      <c r="N279" s="5" t="str">
        <f t="shared" si="12"/>
        <v>F</v>
      </c>
      <c r="O279" s="5" t="str">
        <f t="shared" si="13"/>
        <v>High School or Below</v>
      </c>
    </row>
    <row r="280" spans="1:15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 t="str">
        <f t="shared" si="14"/>
        <v>California</v>
      </c>
      <c r="N280" s="5" t="str">
        <f t="shared" si="12"/>
        <v>M</v>
      </c>
      <c r="O280" s="5" t="str">
        <f t="shared" si="13"/>
        <v>College</v>
      </c>
    </row>
    <row r="281" spans="1:15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 t="str">
        <f t="shared" si="14"/>
        <v>Oregon</v>
      </c>
      <c r="N281" s="5" t="str">
        <f t="shared" si="12"/>
        <v>F</v>
      </c>
      <c r="O281" s="5" t="str">
        <f t="shared" si="13"/>
        <v>High School or Below</v>
      </c>
    </row>
    <row r="282" spans="1:15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 t="str">
        <f t="shared" si="14"/>
        <v>Nevada</v>
      </c>
      <c r="N282" s="5" t="str">
        <f t="shared" si="12"/>
        <v>M</v>
      </c>
      <c r="O282" s="5" t="str">
        <f t="shared" si="13"/>
        <v>College</v>
      </c>
    </row>
    <row r="283" spans="1:15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 t="str">
        <f t="shared" si="14"/>
        <v>California</v>
      </c>
      <c r="N283" s="5" t="str">
        <f t="shared" si="12"/>
        <v>M</v>
      </c>
      <c r="O283" s="5" t="str">
        <f t="shared" si="13"/>
        <v>Bachelor</v>
      </c>
    </row>
    <row r="284" spans="1:15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 t="str">
        <f t="shared" si="14"/>
        <v>Nevada</v>
      </c>
      <c r="N284" s="5" t="str">
        <f t="shared" si="12"/>
        <v>M</v>
      </c>
      <c r="O284" s="5" t="str">
        <f t="shared" si="13"/>
        <v>High School or Below</v>
      </c>
    </row>
    <row r="285" spans="1:15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 t="str">
        <f t="shared" si="14"/>
        <v>Washington</v>
      </c>
      <c r="N285" s="5" t="str">
        <f t="shared" si="12"/>
        <v>M</v>
      </c>
      <c r="O285" s="5" t="str">
        <f t="shared" si="13"/>
        <v>Bachelor</v>
      </c>
    </row>
    <row r="286" spans="1:15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 t="str">
        <f t="shared" si="14"/>
        <v>Washington</v>
      </c>
      <c r="N286" s="5" t="str">
        <f t="shared" si="12"/>
        <v>M</v>
      </c>
      <c r="O286" s="5" t="str">
        <f t="shared" si="13"/>
        <v>Bachelor</v>
      </c>
    </row>
    <row r="287" spans="1:15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 t="str">
        <f t="shared" si="14"/>
        <v>Arizona</v>
      </c>
      <c r="N287" s="5" t="str">
        <f t="shared" si="12"/>
        <v>F</v>
      </c>
      <c r="O287" s="5" t="str">
        <f t="shared" si="13"/>
        <v>High School or Below</v>
      </c>
    </row>
    <row r="288" spans="1:15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 t="str">
        <f t="shared" si="14"/>
        <v>Arizona</v>
      </c>
      <c r="N288" s="5" t="str">
        <f t="shared" si="12"/>
        <v>F</v>
      </c>
      <c r="O288" s="5" t="str">
        <f t="shared" si="13"/>
        <v>Bachelor</v>
      </c>
    </row>
    <row r="289" spans="1:15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 t="str">
        <f t="shared" si="14"/>
        <v>California</v>
      </c>
      <c r="N289" s="5" t="str">
        <f t="shared" si="12"/>
        <v>M</v>
      </c>
      <c r="O289" s="5" t="str">
        <f t="shared" si="13"/>
        <v>Bachelor</v>
      </c>
    </row>
    <row r="290" spans="1:15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 t="str">
        <f t="shared" si="14"/>
        <v>California</v>
      </c>
      <c r="N290" s="5" t="str">
        <f t="shared" si="12"/>
        <v>M</v>
      </c>
      <c r="O290" s="5" t="str">
        <f t="shared" si="13"/>
        <v>High School or Below</v>
      </c>
    </row>
    <row r="291" spans="1:15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 t="str">
        <f t="shared" si="14"/>
        <v>Washington</v>
      </c>
      <c r="N291" s="5" t="str">
        <f t="shared" si="12"/>
        <v>M</v>
      </c>
      <c r="O291" s="5" t="str">
        <f t="shared" si="13"/>
        <v>College</v>
      </c>
    </row>
    <row r="292" spans="1:15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 t="str">
        <f t="shared" si="14"/>
        <v>Oregon</v>
      </c>
      <c r="N292" s="5" t="str">
        <f t="shared" si="12"/>
        <v>F</v>
      </c>
      <c r="O292" s="5" t="str">
        <f t="shared" si="13"/>
        <v>Bachelor</v>
      </c>
    </row>
    <row r="293" spans="1:15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 t="str">
        <f t="shared" si="14"/>
        <v>California</v>
      </c>
      <c r="N293" s="5" t="str">
        <f t="shared" si="12"/>
        <v>M</v>
      </c>
      <c r="O293" s="5" t="str">
        <f t="shared" si="13"/>
        <v>High School or Below</v>
      </c>
    </row>
    <row r="294" spans="1:15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 t="str">
        <f t="shared" si="14"/>
        <v>Oregon</v>
      </c>
      <c r="N294" s="5" t="str">
        <f t="shared" si="12"/>
        <v>M</v>
      </c>
      <c r="O294" s="5" t="str">
        <f t="shared" si="13"/>
        <v>Master</v>
      </c>
    </row>
    <row r="295" spans="1:15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 t="str">
        <f t="shared" si="14"/>
        <v>Arizona</v>
      </c>
      <c r="N295" s="5" t="str">
        <f t="shared" si="12"/>
        <v>F</v>
      </c>
      <c r="O295" s="5" t="str">
        <f t="shared" si="13"/>
        <v>Bachelor</v>
      </c>
    </row>
    <row r="296" spans="1:15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 t="str">
        <f t="shared" si="14"/>
        <v>Oregon</v>
      </c>
      <c r="N296" s="5" t="str">
        <f t="shared" si="12"/>
        <v>F</v>
      </c>
      <c r="O296" s="5" t="str">
        <f t="shared" si="13"/>
        <v>High School or Below</v>
      </c>
    </row>
    <row r="297" spans="1:15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 t="str">
        <f t="shared" si="14"/>
        <v>Arizona</v>
      </c>
      <c r="N297" s="5" t="str">
        <f t="shared" si="12"/>
        <v>M</v>
      </c>
      <c r="O297" s="5" t="str">
        <f t="shared" si="13"/>
        <v>Doctor</v>
      </c>
    </row>
    <row r="298" spans="1:15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 t="str">
        <f t="shared" si="14"/>
        <v>California</v>
      </c>
      <c r="N298" s="5" t="str">
        <f t="shared" si="12"/>
        <v>M</v>
      </c>
      <c r="O298" s="5" t="str">
        <f t="shared" si="13"/>
        <v>College</v>
      </c>
    </row>
    <row r="299" spans="1:15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 t="str">
        <f t="shared" si="14"/>
        <v>Washington</v>
      </c>
      <c r="N299" s="5" t="str">
        <f t="shared" si="12"/>
        <v>F</v>
      </c>
      <c r="O299" s="5" t="str">
        <f t="shared" si="13"/>
        <v>Bachelor</v>
      </c>
    </row>
    <row r="300" spans="1:15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 t="str">
        <f t="shared" si="14"/>
        <v>Arizona</v>
      </c>
      <c r="N300" s="5" t="str">
        <f t="shared" si="12"/>
        <v>M</v>
      </c>
      <c r="O300" s="5" t="str">
        <f t="shared" si="13"/>
        <v>College</v>
      </c>
    </row>
    <row r="301" spans="1:15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 t="str">
        <f t="shared" si="14"/>
        <v>Oregon</v>
      </c>
      <c r="N301" s="5" t="str">
        <f t="shared" si="12"/>
        <v>M</v>
      </c>
      <c r="O301" s="5" t="str">
        <f t="shared" si="13"/>
        <v>High School or Below</v>
      </c>
    </row>
    <row r="302" spans="1:15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 t="str">
        <f t="shared" si="14"/>
        <v>California</v>
      </c>
      <c r="N302" s="5" t="str">
        <f t="shared" si="12"/>
        <v>M</v>
      </c>
      <c r="O302" s="5" t="str">
        <f t="shared" si="13"/>
        <v>College</v>
      </c>
    </row>
    <row r="303" spans="1:15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 t="str">
        <f t="shared" si="14"/>
        <v>Nevada</v>
      </c>
      <c r="N303" s="5" t="str">
        <f t="shared" si="12"/>
        <v>M</v>
      </c>
      <c r="O303" s="5" t="str">
        <f t="shared" si="13"/>
        <v>Bachelor</v>
      </c>
    </row>
    <row r="304" spans="1:15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 t="str">
        <f t="shared" si="14"/>
        <v>Oregon</v>
      </c>
      <c r="N304" s="5" t="str">
        <f t="shared" si="12"/>
        <v>M</v>
      </c>
      <c r="O304" s="5" t="str">
        <f t="shared" si="13"/>
        <v>High School or Below</v>
      </c>
    </row>
    <row r="305" spans="1:15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 t="str">
        <f t="shared" si="14"/>
        <v>Washington</v>
      </c>
      <c r="N305" s="5" t="str">
        <f t="shared" si="12"/>
        <v>F</v>
      </c>
      <c r="O305" s="5" t="str">
        <f t="shared" si="13"/>
        <v>College</v>
      </c>
    </row>
    <row r="306" spans="1:15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 t="str">
        <f t="shared" si="14"/>
        <v>Oregon</v>
      </c>
      <c r="N306" s="5" t="str">
        <f t="shared" si="12"/>
        <v>F</v>
      </c>
      <c r="O306" s="5" t="str">
        <f t="shared" si="13"/>
        <v>Bachelor</v>
      </c>
    </row>
    <row r="307" spans="1:15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 t="str">
        <f t="shared" si="14"/>
        <v>Washington</v>
      </c>
      <c r="N307" s="5" t="str">
        <f t="shared" si="12"/>
        <v>M</v>
      </c>
      <c r="O307" s="5" t="str">
        <f t="shared" si="13"/>
        <v>College</v>
      </c>
    </row>
    <row r="308" spans="1:15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 t="str">
        <f t="shared" si="14"/>
        <v>California</v>
      </c>
      <c r="N308" s="5" t="str">
        <f t="shared" si="12"/>
        <v>M</v>
      </c>
      <c r="O308" s="5" t="str">
        <f t="shared" si="13"/>
        <v>Bachelor</v>
      </c>
    </row>
    <row r="309" spans="1:15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 t="str">
        <f t="shared" si="14"/>
        <v>Oregon</v>
      </c>
      <c r="N309" s="5" t="str">
        <f t="shared" si="12"/>
        <v>M</v>
      </c>
      <c r="O309" s="5" t="str">
        <f t="shared" si="13"/>
        <v>College</v>
      </c>
    </row>
    <row r="310" spans="1:15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 t="str">
        <f t="shared" si="14"/>
        <v>Oregon</v>
      </c>
      <c r="N310" s="5" t="str">
        <f t="shared" si="12"/>
        <v>F</v>
      </c>
      <c r="O310" s="5" t="str">
        <f t="shared" si="13"/>
        <v>Bachelor</v>
      </c>
    </row>
    <row r="311" spans="1:15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 t="str">
        <f t="shared" si="14"/>
        <v>California</v>
      </c>
      <c r="N311" s="5" t="str">
        <f t="shared" si="12"/>
        <v>F</v>
      </c>
      <c r="O311" s="5" t="str">
        <f t="shared" si="13"/>
        <v>Bachelor</v>
      </c>
    </row>
    <row r="312" spans="1:15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 t="str">
        <f t="shared" si="14"/>
        <v>Oregon</v>
      </c>
      <c r="N312" s="5" t="str">
        <f t="shared" si="12"/>
        <v>M</v>
      </c>
      <c r="O312" s="5" t="str">
        <f t="shared" si="13"/>
        <v>Bachelor</v>
      </c>
    </row>
    <row r="313" spans="1:15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 t="str">
        <f t="shared" si="14"/>
        <v>Oregon</v>
      </c>
      <c r="N313" s="5" t="str">
        <f t="shared" si="12"/>
        <v>F</v>
      </c>
      <c r="O313" s="5" t="str">
        <f t="shared" si="13"/>
        <v>High School or Below</v>
      </c>
    </row>
    <row r="314" spans="1:15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 t="str">
        <f t="shared" si="14"/>
        <v>California</v>
      </c>
      <c r="N314" s="5" t="str">
        <f t="shared" si="12"/>
        <v>M</v>
      </c>
      <c r="O314" s="5" t="str">
        <f t="shared" si="13"/>
        <v>High School or Below</v>
      </c>
    </row>
    <row r="315" spans="1:15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 t="str">
        <f t="shared" si="14"/>
        <v>Oregon</v>
      </c>
      <c r="N315" s="5" t="str">
        <f t="shared" si="12"/>
        <v>F</v>
      </c>
      <c r="O315" s="5" t="str">
        <f t="shared" si="13"/>
        <v>Doctor</v>
      </c>
    </row>
    <row r="316" spans="1:15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 t="str">
        <f t="shared" si="14"/>
        <v>Oregon</v>
      </c>
      <c r="N316" s="5" t="str">
        <f t="shared" si="12"/>
        <v>F</v>
      </c>
      <c r="O316" s="5" t="str">
        <f t="shared" si="13"/>
        <v>Master</v>
      </c>
    </row>
    <row r="317" spans="1:15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 t="str">
        <f t="shared" si="14"/>
        <v>Oregon</v>
      </c>
      <c r="N317" s="5" t="str">
        <f t="shared" si="12"/>
        <v>M</v>
      </c>
      <c r="O317" s="5" t="str">
        <f t="shared" si="13"/>
        <v>Bachelor</v>
      </c>
    </row>
    <row r="318" spans="1:15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 t="str">
        <f t="shared" si="14"/>
        <v>Oregon</v>
      </c>
      <c r="N318" s="5" t="str">
        <f t="shared" si="12"/>
        <v>F</v>
      </c>
      <c r="O318" s="5" t="str">
        <f t="shared" si="13"/>
        <v>College</v>
      </c>
    </row>
    <row r="319" spans="1:15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 t="str">
        <f t="shared" si="14"/>
        <v>California</v>
      </c>
      <c r="N319" s="5" t="str">
        <f t="shared" si="12"/>
        <v>F</v>
      </c>
      <c r="O319" s="5" t="str">
        <f t="shared" si="13"/>
        <v>Bachelor</v>
      </c>
    </row>
    <row r="320" spans="1:15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 t="str">
        <f t="shared" si="14"/>
        <v>California</v>
      </c>
      <c r="N320" s="5" t="str">
        <f t="shared" si="12"/>
        <v>F</v>
      </c>
      <c r="O320" s="5" t="str">
        <f t="shared" si="13"/>
        <v>Bachelor</v>
      </c>
    </row>
    <row r="321" spans="1:15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 t="str">
        <f t="shared" si="14"/>
        <v>California</v>
      </c>
      <c r="N321" s="5" t="str">
        <f t="shared" si="12"/>
        <v>F</v>
      </c>
      <c r="O321" s="5" t="str">
        <f t="shared" si="13"/>
        <v>Master</v>
      </c>
    </row>
    <row r="322" spans="1:15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 t="str">
        <f t="shared" si="14"/>
        <v>Arizona</v>
      </c>
      <c r="N322" s="5" t="str">
        <f t="shared" ref="N322:N385" si="15">IF(OR(C322="F",C322="Femal",C322="female"),"F",IF(OR(C322="M",C322="Male"),"M","NA"))</f>
        <v>F</v>
      </c>
      <c r="O322" s="5" t="str">
        <f t="shared" ref="O322:O385" si="16">IF(OR(D322="Bachelor",D322="Bachelors"),"Bachelor",D322)</f>
        <v>College</v>
      </c>
    </row>
    <row r="323" spans="1:15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 t="str">
        <f t="shared" ref="M323:M386" si="17">IF(OR(B323="Arizona",B323="AZ"),"Arizona",IF(OR(B323="California",B323="Cali"),"California",IF(B323="Nevada","Nevada",IF(B323="Oregon","Oregon",IF(OR(B323="Washington",B323="WA"),"Washington",B323)))))</f>
        <v>Arizona</v>
      </c>
      <c r="N323" s="5" t="str">
        <f t="shared" si="15"/>
        <v>F</v>
      </c>
      <c r="O323" s="5" t="str">
        <f t="shared" si="16"/>
        <v>Doctor</v>
      </c>
    </row>
    <row r="324" spans="1:15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 t="str">
        <f t="shared" si="17"/>
        <v>Oregon</v>
      </c>
      <c r="N324" s="5" t="str">
        <f t="shared" si="15"/>
        <v>M</v>
      </c>
      <c r="O324" s="5" t="str">
        <f t="shared" si="16"/>
        <v>Bachelor</v>
      </c>
    </row>
    <row r="325" spans="1:15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 t="str">
        <f t="shared" si="17"/>
        <v>California</v>
      </c>
      <c r="N325" s="5" t="str">
        <f t="shared" si="15"/>
        <v>F</v>
      </c>
      <c r="O325" s="5" t="str">
        <f t="shared" si="16"/>
        <v>College</v>
      </c>
    </row>
    <row r="326" spans="1:15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 t="str">
        <f t="shared" si="17"/>
        <v>California</v>
      </c>
      <c r="N326" s="5" t="str">
        <f t="shared" si="15"/>
        <v>M</v>
      </c>
      <c r="O326" s="5" t="str">
        <f t="shared" si="16"/>
        <v>Bachelor</v>
      </c>
    </row>
    <row r="327" spans="1:15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 t="str">
        <f t="shared" si="17"/>
        <v>California</v>
      </c>
      <c r="N327" s="5" t="str">
        <f t="shared" si="15"/>
        <v>M</v>
      </c>
      <c r="O327" s="5" t="str">
        <f t="shared" si="16"/>
        <v>College</v>
      </c>
    </row>
    <row r="328" spans="1:15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 t="str">
        <f t="shared" si="17"/>
        <v>Nevada</v>
      </c>
      <c r="N328" s="5" t="str">
        <f t="shared" si="15"/>
        <v>F</v>
      </c>
      <c r="O328" s="5" t="str">
        <f t="shared" si="16"/>
        <v>High School or Below</v>
      </c>
    </row>
    <row r="329" spans="1:15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 t="str">
        <f t="shared" si="17"/>
        <v>Nevada</v>
      </c>
      <c r="N329" s="5" t="str">
        <f t="shared" si="15"/>
        <v>F</v>
      </c>
      <c r="O329" s="5" t="str">
        <f t="shared" si="16"/>
        <v>Bachelor</v>
      </c>
    </row>
    <row r="330" spans="1:15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 t="str">
        <f t="shared" si="17"/>
        <v>Oregon</v>
      </c>
      <c r="N330" s="5" t="str">
        <f t="shared" si="15"/>
        <v>F</v>
      </c>
      <c r="O330" s="5" t="str">
        <f t="shared" si="16"/>
        <v>College</v>
      </c>
    </row>
    <row r="331" spans="1:15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 t="str">
        <f t="shared" si="17"/>
        <v>California</v>
      </c>
      <c r="N331" s="5" t="str">
        <f t="shared" si="15"/>
        <v>M</v>
      </c>
      <c r="O331" s="5" t="str">
        <f t="shared" si="16"/>
        <v>Bachelor</v>
      </c>
    </row>
    <row r="332" spans="1:15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 t="str">
        <f t="shared" si="17"/>
        <v>California</v>
      </c>
      <c r="N332" s="5" t="str">
        <f t="shared" si="15"/>
        <v>M</v>
      </c>
      <c r="O332" s="5" t="str">
        <f t="shared" si="16"/>
        <v>High School or Below</v>
      </c>
    </row>
    <row r="333" spans="1:15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 t="str">
        <f t="shared" si="17"/>
        <v>California</v>
      </c>
      <c r="N333" s="5" t="str">
        <f t="shared" si="15"/>
        <v>F</v>
      </c>
      <c r="O333" s="5" t="str">
        <f t="shared" si="16"/>
        <v>High School or Below</v>
      </c>
    </row>
    <row r="334" spans="1:15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 t="str">
        <f t="shared" si="17"/>
        <v>California</v>
      </c>
      <c r="N334" s="5" t="str">
        <f t="shared" si="15"/>
        <v>F</v>
      </c>
      <c r="O334" s="5" t="str">
        <f t="shared" si="16"/>
        <v>College</v>
      </c>
    </row>
    <row r="335" spans="1:15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 t="str">
        <f t="shared" si="17"/>
        <v>Oregon</v>
      </c>
      <c r="N335" s="5" t="str">
        <f t="shared" si="15"/>
        <v>M</v>
      </c>
      <c r="O335" s="5" t="str">
        <f t="shared" si="16"/>
        <v>High School or Below</v>
      </c>
    </row>
    <row r="336" spans="1:15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 t="str">
        <f t="shared" si="17"/>
        <v>Arizona</v>
      </c>
      <c r="N336" s="5" t="str">
        <f t="shared" si="15"/>
        <v>F</v>
      </c>
      <c r="O336" s="5" t="str">
        <f t="shared" si="16"/>
        <v>College</v>
      </c>
    </row>
    <row r="337" spans="1:15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 t="str">
        <f t="shared" si="17"/>
        <v>Arizona</v>
      </c>
      <c r="N337" s="5" t="str">
        <f t="shared" si="15"/>
        <v>M</v>
      </c>
      <c r="O337" s="5" t="str">
        <f t="shared" si="16"/>
        <v>High School or Below</v>
      </c>
    </row>
    <row r="338" spans="1:15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 t="str">
        <f t="shared" si="17"/>
        <v>California</v>
      </c>
      <c r="N338" s="5" t="str">
        <f t="shared" si="15"/>
        <v>M</v>
      </c>
      <c r="O338" s="5" t="str">
        <f t="shared" si="16"/>
        <v>College</v>
      </c>
    </row>
    <row r="339" spans="1:15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 t="str">
        <f t="shared" si="17"/>
        <v>California</v>
      </c>
      <c r="N339" s="5" t="str">
        <f t="shared" si="15"/>
        <v>M</v>
      </c>
      <c r="O339" s="5" t="str">
        <f t="shared" si="16"/>
        <v>Bachelor</v>
      </c>
    </row>
    <row r="340" spans="1:15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 t="str">
        <f t="shared" si="17"/>
        <v>Arizona</v>
      </c>
      <c r="N340" s="5" t="str">
        <f t="shared" si="15"/>
        <v>F</v>
      </c>
      <c r="O340" s="5" t="str">
        <f t="shared" si="16"/>
        <v>Bachelor</v>
      </c>
    </row>
    <row r="341" spans="1:15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 t="str">
        <f t="shared" si="17"/>
        <v>California</v>
      </c>
      <c r="N341" s="5" t="str">
        <f t="shared" si="15"/>
        <v>M</v>
      </c>
      <c r="O341" s="5" t="str">
        <f t="shared" si="16"/>
        <v>College</v>
      </c>
    </row>
    <row r="342" spans="1:15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 t="str">
        <f t="shared" si="17"/>
        <v>California</v>
      </c>
      <c r="N342" s="5" t="str">
        <f t="shared" si="15"/>
        <v>F</v>
      </c>
      <c r="O342" s="5" t="str">
        <f t="shared" si="16"/>
        <v>High School or Below</v>
      </c>
    </row>
    <row r="343" spans="1:15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 t="str">
        <f t="shared" si="17"/>
        <v>California</v>
      </c>
      <c r="N343" s="5" t="str">
        <f t="shared" si="15"/>
        <v>M</v>
      </c>
      <c r="O343" s="5" t="str">
        <f t="shared" si="16"/>
        <v>High School or Below</v>
      </c>
    </row>
    <row r="344" spans="1:15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 t="str">
        <f t="shared" si="17"/>
        <v>Oregon</v>
      </c>
      <c r="N344" s="5" t="str">
        <f t="shared" si="15"/>
        <v>M</v>
      </c>
      <c r="O344" s="5" t="str">
        <f t="shared" si="16"/>
        <v>High School or Below</v>
      </c>
    </row>
    <row r="345" spans="1:15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 t="str">
        <f t="shared" si="17"/>
        <v>California</v>
      </c>
      <c r="N345" s="5" t="str">
        <f t="shared" si="15"/>
        <v>F</v>
      </c>
      <c r="O345" s="5" t="str">
        <f t="shared" si="16"/>
        <v>High School or Below</v>
      </c>
    </row>
    <row r="346" spans="1:15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 t="str">
        <f t="shared" si="17"/>
        <v>California</v>
      </c>
      <c r="N346" s="5" t="str">
        <f t="shared" si="15"/>
        <v>F</v>
      </c>
      <c r="O346" s="5" t="str">
        <f t="shared" si="16"/>
        <v>High School or Below</v>
      </c>
    </row>
    <row r="347" spans="1:15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 t="str">
        <f t="shared" si="17"/>
        <v>Nevada</v>
      </c>
      <c r="N347" s="5" t="str">
        <f t="shared" si="15"/>
        <v>F</v>
      </c>
      <c r="O347" s="5" t="str">
        <f t="shared" si="16"/>
        <v>Bachelor</v>
      </c>
    </row>
    <row r="348" spans="1:15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 t="str">
        <f t="shared" si="17"/>
        <v>Oregon</v>
      </c>
      <c r="N348" s="5" t="str">
        <f t="shared" si="15"/>
        <v>M</v>
      </c>
      <c r="O348" s="5" t="str">
        <f t="shared" si="16"/>
        <v>High School or Below</v>
      </c>
    </row>
    <row r="349" spans="1:15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 t="str">
        <f t="shared" si="17"/>
        <v>Washington</v>
      </c>
      <c r="N349" s="5" t="str">
        <f t="shared" si="15"/>
        <v>F</v>
      </c>
      <c r="O349" s="5" t="str">
        <f t="shared" si="16"/>
        <v>Doctor</v>
      </c>
    </row>
    <row r="350" spans="1:15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 t="str">
        <f t="shared" si="17"/>
        <v>Nevada</v>
      </c>
      <c r="N350" s="5" t="str">
        <f t="shared" si="15"/>
        <v>F</v>
      </c>
      <c r="O350" s="5" t="str">
        <f t="shared" si="16"/>
        <v>Bachelor</v>
      </c>
    </row>
    <row r="351" spans="1:15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 t="str">
        <f t="shared" si="17"/>
        <v>Oregon</v>
      </c>
      <c r="N351" s="5" t="str">
        <f t="shared" si="15"/>
        <v>F</v>
      </c>
      <c r="O351" s="5" t="str">
        <f t="shared" si="16"/>
        <v>College</v>
      </c>
    </row>
    <row r="352" spans="1:15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 t="str">
        <f t="shared" si="17"/>
        <v>California</v>
      </c>
      <c r="N352" s="5" t="str">
        <f t="shared" si="15"/>
        <v>F</v>
      </c>
      <c r="O352" s="5" t="str">
        <f t="shared" si="16"/>
        <v>College</v>
      </c>
    </row>
    <row r="353" spans="1:15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 t="str">
        <f t="shared" si="17"/>
        <v>Arizona</v>
      </c>
      <c r="N353" s="5" t="str">
        <f t="shared" si="15"/>
        <v>F</v>
      </c>
      <c r="O353" s="5" t="str">
        <f t="shared" si="16"/>
        <v>College</v>
      </c>
    </row>
    <row r="354" spans="1:15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 t="str">
        <f t="shared" si="17"/>
        <v>California</v>
      </c>
      <c r="N354" s="5" t="str">
        <f t="shared" si="15"/>
        <v>F</v>
      </c>
      <c r="O354" s="5" t="str">
        <f t="shared" si="16"/>
        <v>High School or Below</v>
      </c>
    </row>
    <row r="355" spans="1:15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 t="str">
        <f t="shared" si="17"/>
        <v>Washington</v>
      </c>
      <c r="N355" s="5" t="str">
        <f t="shared" si="15"/>
        <v>M</v>
      </c>
      <c r="O355" s="5" t="str">
        <f t="shared" si="16"/>
        <v>Master</v>
      </c>
    </row>
    <row r="356" spans="1:15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 t="str">
        <f t="shared" si="17"/>
        <v>Washington</v>
      </c>
      <c r="N356" s="5" t="str">
        <f t="shared" si="15"/>
        <v>M</v>
      </c>
      <c r="O356" s="5" t="str">
        <f t="shared" si="16"/>
        <v>Bachelor</v>
      </c>
    </row>
    <row r="357" spans="1:15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 t="str">
        <f t="shared" si="17"/>
        <v>California</v>
      </c>
      <c r="N357" s="5" t="str">
        <f t="shared" si="15"/>
        <v>M</v>
      </c>
      <c r="O357" s="5" t="str">
        <f t="shared" si="16"/>
        <v>High School or Below</v>
      </c>
    </row>
    <row r="358" spans="1:15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 t="str">
        <f t="shared" si="17"/>
        <v>Oregon</v>
      </c>
      <c r="N358" s="5" t="str">
        <f t="shared" si="15"/>
        <v>F</v>
      </c>
      <c r="O358" s="5" t="str">
        <f t="shared" si="16"/>
        <v>Master</v>
      </c>
    </row>
    <row r="359" spans="1:15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 t="str">
        <f t="shared" si="17"/>
        <v>California</v>
      </c>
      <c r="N359" s="5" t="str">
        <f t="shared" si="15"/>
        <v>F</v>
      </c>
      <c r="O359" s="5" t="str">
        <f t="shared" si="16"/>
        <v>High School or Below</v>
      </c>
    </row>
    <row r="360" spans="1:15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 t="str">
        <f t="shared" si="17"/>
        <v>Nevada</v>
      </c>
      <c r="N360" s="5" t="str">
        <f t="shared" si="15"/>
        <v>F</v>
      </c>
      <c r="O360" s="5" t="str">
        <f t="shared" si="16"/>
        <v>College</v>
      </c>
    </row>
    <row r="361" spans="1:15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 t="str">
        <f t="shared" si="17"/>
        <v>California</v>
      </c>
      <c r="N361" s="5" t="str">
        <f t="shared" si="15"/>
        <v>M</v>
      </c>
      <c r="O361" s="5" t="str">
        <f t="shared" si="16"/>
        <v>Doctor</v>
      </c>
    </row>
    <row r="362" spans="1:15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 t="str">
        <f t="shared" si="17"/>
        <v>Nevada</v>
      </c>
      <c r="N362" s="5" t="str">
        <f t="shared" si="15"/>
        <v>M</v>
      </c>
      <c r="O362" s="5" t="str">
        <f t="shared" si="16"/>
        <v>College</v>
      </c>
    </row>
    <row r="363" spans="1:15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 t="str">
        <f t="shared" si="17"/>
        <v>Arizona</v>
      </c>
      <c r="N363" s="5" t="str">
        <f t="shared" si="15"/>
        <v>F</v>
      </c>
      <c r="O363" s="5" t="str">
        <f t="shared" si="16"/>
        <v>Bachelor</v>
      </c>
    </row>
    <row r="364" spans="1:15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 t="str">
        <f t="shared" si="17"/>
        <v>California</v>
      </c>
      <c r="N364" s="5" t="str">
        <f t="shared" si="15"/>
        <v>F</v>
      </c>
      <c r="O364" s="5" t="str">
        <f t="shared" si="16"/>
        <v>Bachelor</v>
      </c>
    </row>
    <row r="365" spans="1:15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 t="str">
        <f t="shared" si="17"/>
        <v>Oregon</v>
      </c>
      <c r="N365" s="5" t="str">
        <f t="shared" si="15"/>
        <v>M</v>
      </c>
      <c r="O365" s="5" t="str">
        <f t="shared" si="16"/>
        <v>Bachelor</v>
      </c>
    </row>
    <row r="366" spans="1:15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 t="str">
        <f t="shared" si="17"/>
        <v>California</v>
      </c>
      <c r="N366" s="5" t="str">
        <f t="shared" si="15"/>
        <v>M</v>
      </c>
      <c r="O366" s="5" t="str">
        <f t="shared" si="16"/>
        <v>High School or Below</v>
      </c>
    </row>
    <row r="367" spans="1:15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 t="str">
        <f t="shared" si="17"/>
        <v>Arizona</v>
      </c>
      <c r="N367" s="5" t="str">
        <f t="shared" si="15"/>
        <v>M</v>
      </c>
      <c r="O367" s="5" t="str">
        <f t="shared" si="16"/>
        <v>Bachelor</v>
      </c>
    </row>
    <row r="368" spans="1:15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 t="str">
        <f t="shared" si="17"/>
        <v>California</v>
      </c>
      <c r="N368" s="5" t="str">
        <f t="shared" si="15"/>
        <v>F</v>
      </c>
      <c r="O368" s="5" t="str">
        <f t="shared" si="16"/>
        <v>College</v>
      </c>
    </row>
    <row r="369" spans="1:15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 t="str">
        <f t="shared" si="17"/>
        <v>California</v>
      </c>
      <c r="N369" s="5" t="str">
        <f t="shared" si="15"/>
        <v>F</v>
      </c>
      <c r="O369" s="5" t="str">
        <f t="shared" si="16"/>
        <v>College</v>
      </c>
    </row>
    <row r="370" spans="1:15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 t="str">
        <f t="shared" si="17"/>
        <v>Oregon</v>
      </c>
      <c r="N370" s="5" t="str">
        <f t="shared" si="15"/>
        <v>F</v>
      </c>
      <c r="O370" s="5" t="str">
        <f t="shared" si="16"/>
        <v>Bachelor</v>
      </c>
    </row>
    <row r="371" spans="1:15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 t="str">
        <f t="shared" si="17"/>
        <v>Oregon</v>
      </c>
      <c r="N371" s="5" t="str">
        <f t="shared" si="15"/>
        <v>F</v>
      </c>
      <c r="O371" s="5" t="str">
        <f t="shared" si="16"/>
        <v>Master</v>
      </c>
    </row>
    <row r="372" spans="1:15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 t="str">
        <f t="shared" si="17"/>
        <v>California</v>
      </c>
      <c r="N372" s="5" t="str">
        <f t="shared" si="15"/>
        <v>M</v>
      </c>
      <c r="O372" s="5" t="str">
        <f t="shared" si="16"/>
        <v>Bachelor</v>
      </c>
    </row>
    <row r="373" spans="1:15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 t="str">
        <f t="shared" si="17"/>
        <v>California</v>
      </c>
      <c r="N373" s="5" t="str">
        <f t="shared" si="15"/>
        <v>F</v>
      </c>
      <c r="O373" s="5" t="str">
        <f t="shared" si="16"/>
        <v>High School or Below</v>
      </c>
    </row>
    <row r="374" spans="1:15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 t="str">
        <f t="shared" si="17"/>
        <v>Arizona</v>
      </c>
      <c r="N374" s="5" t="str">
        <f t="shared" si="15"/>
        <v>M</v>
      </c>
      <c r="O374" s="5" t="str">
        <f t="shared" si="16"/>
        <v>Bachelor</v>
      </c>
    </row>
    <row r="375" spans="1:15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 t="str">
        <f t="shared" si="17"/>
        <v>California</v>
      </c>
      <c r="N375" s="5" t="str">
        <f t="shared" si="15"/>
        <v>F</v>
      </c>
      <c r="O375" s="5" t="str">
        <f t="shared" si="16"/>
        <v>Bachelor</v>
      </c>
    </row>
    <row r="376" spans="1:15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 t="str">
        <f t="shared" si="17"/>
        <v>Oregon</v>
      </c>
      <c r="N376" s="5" t="str">
        <f t="shared" si="15"/>
        <v>F</v>
      </c>
      <c r="O376" s="5" t="str">
        <f t="shared" si="16"/>
        <v>Master</v>
      </c>
    </row>
    <row r="377" spans="1:15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 t="str">
        <f t="shared" si="17"/>
        <v>Arizona</v>
      </c>
      <c r="N377" s="5" t="str">
        <f t="shared" si="15"/>
        <v>M</v>
      </c>
      <c r="O377" s="5" t="str">
        <f t="shared" si="16"/>
        <v>College</v>
      </c>
    </row>
    <row r="378" spans="1:15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 t="str">
        <f t="shared" si="17"/>
        <v>California</v>
      </c>
      <c r="N378" s="5" t="str">
        <f t="shared" si="15"/>
        <v>F</v>
      </c>
      <c r="O378" s="5" t="str">
        <f t="shared" si="16"/>
        <v>High School or Below</v>
      </c>
    </row>
    <row r="379" spans="1:15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 t="str">
        <f t="shared" si="17"/>
        <v>California</v>
      </c>
      <c r="N379" s="5" t="str">
        <f t="shared" si="15"/>
        <v>F</v>
      </c>
      <c r="O379" s="5" t="str">
        <f t="shared" si="16"/>
        <v>Bachelor</v>
      </c>
    </row>
    <row r="380" spans="1:15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 t="str">
        <f t="shared" si="17"/>
        <v>Nevada</v>
      </c>
      <c r="N380" s="5" t="str">
        <f t="shared" si="15"/>
        <v>F</v>
      </c>
      <c r="O380" s="5" t="str">
        <f t="shared" si="16"/>
        <v>High School or Below</v>
      </c>
    </row>
    <row r="381" spans="1:15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 t="str">
        <f t="shared" si="17"/>
        <v>California</v>
      </c>
      <c r="N381" s="5" t="str">
        <f t="shared" si="15"/>
        <v>F</v>
      </c>
      <c r="O381" s="5" t="str">
        <f t="shared" si="16"/>
        <v>College</v>
      </c>
    </row>
    <row r="382" spans="1:15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 t="str">
        <f t="shared" si="17"/>
        <v>Arizona</v>
      </c>
      <c r="N382" s="5" t="str">
        <f t="shared" si="15"/>
        <v>M</v>
      </c>
      <c r="O382" s="5" t="str">
        <f t="shared" si="16"/>
        <v>College</v>
      </c>
    </row>
    <row r="383" spans="1:15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 t="str">
        <f t="shared" si="17"/>
        <v>Arizona</v>
      </c>
      <c r="N383" s="5" t="str">
        <f t="shared" si="15"/>
        <v>F</v>
      </c>
      <c r="O383" s="5" t="str">
        <f t="shared" si="16"/>
        <v>Bachelor</v>
      </c>
    </row>
    <row r="384" spans="1:15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 t="str">
        <f t="shared" si="17"/>
        <v>Washington</v>
      </c>
      <c r="N384" s="5" t="str">
        <f t="shared" si="15"/>
        <v>M</v>
      </c>
      <c r="O384" s="5" t="str">
        <f t="shared" si="16"/>
        <v>College</v>
      </c>
    </row>
    <row r="385" spans="1:15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 t="str">
        <f t="shared" si="17"/>
        <v>Arizona</v>
      </c>
      <c r="N385" s="5" t="str">
        <f t="shared" si="15"/>
        <v>F</v>
      </c>
      <c r="O385" s="5" t="str">
        <f t="shared" si="16"/>
        <v>College</v>
      </c>
    </row>
    <row r="386" spans="1:15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 t="str">
        <f t="shared" si="17"/>
        <v>Washington</v>
      </c>
      <c r="N386" s="5" t="str">
        <f t="shared" ref="N386:N449" si="18">IF(OR(C386="F",C386="Femal",C386="female"),"F",IF(OR(C386="M",C386="Male"),"M","NA"))</f>
        <v>M</v>
      </c>
      <c r="O386" s="5" t="str">
        <f t="shared" ref="O386:O449" si="19">IF(OR(D386="Bachelor",D386="Bachelors"),"Bachelor",D386)</f>
        <v>Doctor</v>
      </c>
    </row>
    <row r="387" spans="1:15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 t="str">
        <f t="shared" ref="M387:M450" si="20">IF(OR(B387="Arizona",B387="AZ"),"Arizona",IF(OR(B387="California",B387="Cali"),"California",IF(B387="Nevada","Nevada",IF(B387="Oregon","Oregon",IF(OR(B387="Washington",B387="WA"),"Washington",B387)))))</f>
        <v>Oregon</v>
      </c>
      <c r="N387" s="5" t="str">
        <f t="shared" si="18"/>
        <v>F</v>
      </c>
      <c r="O387" s="5" t="str">
        <f t="shared" si="19"/>
        <v>College</v>
      </c>
    </row>
    <row r="388" spans="1:15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 t="str">
        <f t="shared" si="20"/>
        <v>Washington</v>
      </c>
      <c r="N388" s="5" t="str">
        <f t="shared" si="18"/>
        <v>M</v>
      </c>
      <c r="O388" s="5" t="str">
        <f t="shared" si="19"/>
        <v>Bachelor</v>
      </c>
    </row>
    <row r="389" spans="1:15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 t="str">
        <f t="shared" si="20"/>
        <v>Oregon</v>
      </c>
      <c r="N389" s="5" t="str">
        <f t="shared" si="18"/>
        <v>M</v>
      </c>
      <c r="O389" s="5" t="str">
        <f t="shared" si="19"/>
        <v>Bachelor</v>
      </c>
    </row>
    <row r="390" spans="1:15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 t="str">
        <f t="shared" si="20"/>
        <v>California</v>
      </c>
      <c r="N390" s="5" t="str">
        <f t="shared" si="18"/>
        <v>M</v>
      </c>
      <c r="O390" s="5" t="str">
        <f t="shared" si="19"/>
        <v>College</v>
      </c>
    </row>
    <row r="391" spans="1:15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 t="str">
        <f t="shared" si="20"/>
        <v>California</v>
      </c>
      <c r="N391" s="5" t="str">
        <f t="shared" si="18"/>
        <v>F</v>
      </c>
      <c r="O391" s="5" t="str">
        <f t="shared" si="19"/>
        <v>Master</v>
      </c>
    </row>
    <row r="392" spans="1:15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 t="str">
        <f t="shared" si="20"/>
        <v>California</v>
      </c>
      <c r="N392" s="5" t="str">
        <f t="shared" si="18"/>
        <v>M</v>
      </c>
      <c r="O392" s="5" t="str">
        <f t="shared" si="19"/>
        <v>Master</v>
      </c>
    </row>
    <row r="393" spans="1:15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 t="str">
        <f t="shared" si="20"/>
        <v>California</v>
      </c>
      <c r="N393" s="5" t="str">
        <f t="shared" si="18"/>
        <v>M</v>
      </c>
      <c r="O393" s="5" t="str">
        <f t="shared" si="19"/>
        <v>Bachelor</v>
      </c>
    </row>
    <row r="394" spans="1:15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 t="str">
        <f t="shared" si="20"/>
        <v>California</v>
      </c>
      <c r="N394" s="5" t="str">
        <f t="shared" si="18"/>
        <v>F</v>
      </c>
      <c r="O394" s="5" t="str">
        <f t="shared" si="19"/>
        <v>College</v>
      </c>
    </row>
    <row r="395" spans="1:15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 t="str">
        <f t="shared" si="20"/>
        <v>Nevada</v>
      </c>
      <c r="N395" s="5" t="str">
        <f t="shared" si="18"/>
        <v>M</v>
      </c>
      <c r="O395" s="5" t="str">
        <f t="shared" si="19"/>
        <v>Bachelor</v>
      </c>
    </row>
    <row r="396" spans="1:15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 t="str">
        <f t="shared" si="20"/>
        <v>Washington</v>
      </c>
      <c r="N396" s="5" t="str">
        <f t="shared" si="18"/>
        <v>F</v>
      </c>
      <c r="O396" s="5" t="str">
        <f t="shared" si="19"/>
        <v>Master</v>
      </c>
    </row>
    <row r="397" spans="1:15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 t="str">
        <f t="shared" si="20"/>
        <v>Oregon</v>
      </c>
      <c r="N397" s="5" t="str">
        <f t="shared" si="18"/>
        <v>M</v>
      </c>
      <c r="O397" s="5" t="str">
        <f t="shared" si="19"/>
        <v>High School or Below</v>
      </c>
    </row>
    <row r="398" spans="1:15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 t="str">
        <f t="shared" si="20"/>
        <v>Oregon</v>
      </c>
      <c r="N398" s="5" t="str">
        <f t="shared" si="18"/>
        <v>M</v>
      </c>
      <c r="O398" s="5" t="str">
        <f t="shared" si="19"/>
        <v>Bachelor</v>
      </c>
    </row>
    <row r="399" spans="1:15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 t="str">
        <f t="shared" si="20"/>
        <v>Arizona</v>
      </c>
      <c r="N399" s="5" t="str">
        <f t="shared" si="18"/>
        <v>F</v>
      </c>
      <c r="O399" s="5" t="str">
        <f t="shared" si="19"/>
        <v>Bachelor</v>
      </c>
    </row>
    <row r="400" spans="1:15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 t="str">
        <f t="shared" si="20"/>
        <v>Nevada</v>
      </c>
      <c r="N400" s="5" t="str">
        <f t="shared" si="18"/>
        <v>F</v>
      </c>
      <c r="O400" s="5" t="str">
        <f t="shared" si="19"/>
        <v>High School or Below</v>
      </c>
    </row>
    <row r="401" spans="1:15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 t="str">
        <f t="shared" si="20"/>
        <v>Oregon</v>
      </c>
      <c r="N401" s="5" t="str">
        <f t="shared" si="18"/>
        <v>M</v>
      </c>
      <c r="O401" s="5" t="str">
        <f t="shared" si="19"/>
        <v>High School or Below</v>
      </c>
    </row>
    <row r="402" spans="1:15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 t="str">
        <f t="shared" si="20"/>
        <v>Washington</v>
      </c>
      <c r="N402" s="5" t="str">
        <f t="shared" si="18"/>
        <v>M</v>
      </c>
      <c r="O402" s="5" t="str">
        <f t="shared" si="19"/>
        <v>Doctor</v>
      </c>
    </row>
    <row r="403" spans="1:15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 t="str">
        <f t="shared" si="20"/>
        <v>Washington</v>
      </c>
      <c r="N403" s="5" t="str">
        <f t="shared" si="18"/>
        <v>M</v>
      </c>
      <c r="O403" s="5" t="str">
        <f t="shared" si="19"/>
        <v>High School or Below</v>
      </c>
    </row>
    <row r="404" spans="1:15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 t="str">
        <f t="shared" si="20"/>
        <v>Oregon</v>
      </c>
      <c r="N404" s="5" t="str">
        <f t="shared" si="18"/>
        <v>M</v>
      </c>
      <c r="O404" s="5" t="str">
        <f t="shared" si="19"/>
        <v>College</v>
      </c>
    </row>
    <row r="405" spans="1:15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 t="str">
        <f t="shared" si="20"/>
        <v>Arizona</v>
      </c>
      <c r="N405" s="5" t="str">
        <f t="shared" si="18"/>
        <v>F</v>
      </c>
      <c r="O405" s="5" t="str">
        <f t="shared" si="19"/>
        <v>College</v>
      </c>
    </row>
    <row r="406" spans="1:15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 t="str">
        <f t="shared" si="20"/>
        <v>Nevada</v>
      </c>
      <c r="N406" s="5" t="str">
        <f t="shared" si="18"/>
        <v>F</v>
      </c>
      <c r="O406" s="5" t="str">
        <f t="shared" si="19"/>
        <v>Bachelor</v>
      </c>
    </row>
    <row r="407" spans="1:15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 t="str">
        <f t="shared" si="20"/>
        <v>California</v>
      </c>
      <c r="N407" s="5" t="str">
        <f t="shared" si="18"/>
        <v>F</v>
      </c>
      <c r="O407" s="5" t="str">
        <f t="shared" si="19"/>
        <v>High School or Below</v>
      </c>
    </row>
    <row r="408" spans="1:15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 t="str">
        <f t="shared" si="20"/>
        <v>Oregon</v>
      </c>
      <c r="N408" s="5" t="str">
        <f t="shared" si="18"/>
        <v>M</v>
      </c>
      <c r="O408" s="5" t="str">
        <f t="shared" si="19"/>
        <v>High School or Below</v>
      </c>
    </row>
    <row r="409" spans="1:15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 t="str">
        <f t="shared" si="20"/>
        <v>California</v>
      </c>
      <c r="N409" s="5" t="str">
        <f t="shared" si="18"/>
        <v>F</v>
      </c>
      <c r="O409" s="5" t="str">
        <f t="shared" si="19"/>
        <v>Master</v>
      </c>
    </row>
    <row r="410" spans="1:15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 t="str">
        <f t="shared" si="20"/>
        <v>Arizona</v>
      </c>
      <c r="N410" s="5" t="str">
        <f t="shared" si="18"/>
        <v>F</v>
      </c>
      <c r="O410" s="5" t="str">
        <f t="shared" si="19"/>
        <v>High School or Below</v>
      </c>
    </row>
    <row r="411" spans="1:15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 t="str">
        <f t="shared" si="20"/>
        <v>California</v>
      </c>
      <c r="N411" s="5" t="str">
        <f t="shared" si="18"/>
        <v>M</v>
      </c>
      <c r="O411" s="5" t="str">
        <f t="shared" si="19"/>
        <v>High School or Below</v>
      </c>
    </row>
    <row r="412" spans="1:15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 t="str">
        <f t="shared" si="20"/>
        <v>Oregon</v>
      </c>
      <c r="N412" s="5" t="str">
        <f t="shared" si="18"/>
        <v>M</v>
      </c>
      <c r="O412" s="5" t="str">
        <f t="shared" si="19"/>
        <v>College</v>
      </c>
    </row>
    <row r="413" spans="1:15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 t="str">
        <f t="shared" si="20"/>
        <v>California</v>
      </c>
      <c r="N413" s="5" t="str">
        <f t="shared" si="18"/>
        <v>F</v>
      </c>
      <c r="O413" s="5" t="str">
        <f t="shared" si="19"/>
        <v>College</v>
      </c>
    </row>
    <row r="414" spans="1:15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 t="str">
        <f t="shared" si="20"/>
        <v>Oregon</v>
      </c>
      <c r="N414" s="5" t="str">
        <f t="shared" si="18"/>
        <v>F</v>
      </c>
      <c r="O414" s="5" t="str">
        <f t="shared" si="19"/>
        <v>Master</v>
      </c>
    </row>
    <row r="415" spans="1:15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 t="str">
        <f t="shared" si="20"/>
        <v>California</v>
      </c>
      <c r="N415" s="5" t="str">
        <f t="shared" si="18"/>
        <v>F</v>
      </c>
      <c r="O415" s="5" t="str">
        <f t="shared" si="19"/>
        <v>High School or Below</v>
      </c>
    </row>
    <row r="416" spans="1:15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 t="str">
        <f t="shared" si="20"/>
        <v>Arizona</v>
      </c>
      <c r="N416" s="5" t="str">
        <f t="shared" si="18"/>
        <v>F</v>
      </c>
      <c r="O416" s="5" t="str">
        <f t="shared" si="19"/>
        <v>College</v>
      </c>
    </row>
    <row r="417" spans="1:15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 t="str">
        <f t="shared" si="20"/>
        <v>Oregon</v>
      </c>
      <c r="N417" s="5" t="str">
        <f t="shared" si="18"/>
        <v>F</v>
      </c>
      <c r="O417" s="5" t="str">
        <f t="shared" si="19"/>
        <v>College</v>
      </c>
    </row>
    <row r="418" spans="1:15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 t="str">
        <f t="shared" si="20"/>
        <v>Washington</v>
      </c>
      <c r="N418" s="5" t="str">
        <f t="shared" si="18"/>
        <v>M</v>
      </c>
      <c r="O418" s="5" t="str">
        <f t="shared" si="19"/>
        <v>High School or Below</v>
      </c>
    </row>
    <row r="419" spans="1:15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 t="str">
        <f t="shared" si="20"/>
        <v>Oregon</v>
      </c>
      <c r="N419" s="5" t="str">
        <f t="shared" si="18"/>
        <v>M</v>
      </c>
      <c r="O419" s="5" t="str">
        <f t="shared" si="19"/>
        <v>Bachelor</v>
      </c>
    </row>
    <row r="420" spans="1:15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 t="str">
        <f t="shared" si="20"/>
        <v>Nevada</v>
      </c>
      <c r="N420" s="5" t="str">
        <f t="shared" si="18"/>
        <v>M</v>
      </c>
      <c r="O420" s="5" t="str">
        <f t="shared" si="19"/>
        <v>College</v>
      </c>
    </row>
    <row r="421" spans="1:15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 t="str">
        <f t="shared" si="20"/>
        <v>Oregon</v>
      </c>
      <c r="N421" s="5" t="str">
        <f t="shared" si="18"/>
        <v>M</v>
      </c>
      <c r="O421" s="5" t="str">
        <f t="shared" si="19"/>
        <v>Master</v>
      </c>
    </row>
    <row r="422" spans="1:15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 t="str">
        <f t="shared" si="20"/>
        <v>Oregon</v>
      </c>
      <c r="N422" s="5" t="str">
        <f t="shared" si="18"/>
        <v>M</v>
      </c>
      <c r="O422" s="5" t="str">
        <f t="shared" si="19"/>
        <v>College</v>
      </c>
    </row>
    <row r="423" spans="1:15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 t="str">
        <f t="shared" si="20"/>
        <v>Oregon</v>
      </c>
      <c r="N423" s="5" t="str">
        <f t="shared" si="18"/>
        <v>F</v>
      </c>
      <c r="O423" s="5" t="str">
        <f t="shared" si="19"/>
        <v>College</v>
      </c>
    </row>
    <row r="424" spans="1:15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 t="str">
        <f t="shared" si="20"/>
        <v>Arizona</v>
      </c>
      <c r="N424" s="5" t="str">
        <f t="shared" si="18"/>
        <v>M</v>
      </c>
      <c r="O424" s="5" t="str">
        <f t="shared" si="19"/>
        <v>High School or Below</v>
      </c>
    </row>
    <row r="425" spans="1:15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 t="str">
        <f t="shared" si="20"/>
        <v>Oregon</v>
      </c>
      <c r="N425" s="5" t="str">
        <f t="shared" si="18"/>
        <v>F</v>
      </c>
      <c r="O425" s="5" t="str">
        <f t="shared" si="19"/>
        <v>College</v>
      </c>
    </row>
    <row r="426" spans="1:15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 t="str">
        <f t="shared" si="20"/>
        <v>Oregon</v>
      </c>
      <c r="N426" s="5" t="str">
        <f t="shared" si="18"/>
        <v>F</v>
      </c>
      <c r="O426" s="5" t="str">
        <f t="shared" si="19"/>
        <v>High School or Below</v>
      </c>
    </row>
    <row r="427" spans="1:15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 t="str">
        <f t="shared" si="20"/>
        <v>California</v>
      </c>
      <c r="N427" s="5" t="str">
        <f t="shared" si="18"/>
        <v>M</v>
      </c>
      <c r="O427" s="5" t="str">
        <f t="shared" si="19"/>
        <v>Bachelor</v>
      </c>
    </row>
    <row r="428" spans="1:15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 t="str">
        <f t="shared" si="20"/>
        <v>Arizona</v>
      </c>
      <c r="N428" s="5" t="str">
        <f t="shared" si="18"/>
        <v>F</v>
      </c>
      <c r="O428" s="5" t="str">
        <f t="shared" si="19"/>
        <v>Master</v>
      </c>
    </row>
    <row r="429" spans="1:15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 t="str">
        <f t="shared" si="20"/>
        <v>Oregon</v>
      </c>
      <c r="N429" s="5" t="str">
        <f t="shared" si="18"/>
        <v>M</v>
      </c>
      <c r="O429" s="5" t="str">
        <f t="shared" si="19"/>
        <v>Master</v>
      </c>
    </row>
    <row r="430" spans="1:15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 t="str">
        <f t="shared" si="20"/>
        <v>Oregon</v>
      </c>
      <c r="N430" s="5" t="str">
        <f t="shared" si="18"/>
        <v>M</v>
      </c>
      <c r="O430" s="5" t="str">
        <f t="shared" si="19"/>
        <v>High School or Below</v>
      </c>
    </row>
    <row r="431" spans="1:15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 t="str">
        <f t="shared" si="20"/>
        <v>Oregon</v>
      </c>
      <c r="N431" s="5" t="str">
        <f t="shared" si="18"/>
        <v>M</v>
      </c>
      <c r="O431" s="5" t="str">
        <f t="shared" si="19"/>
        <v>High School or Below</v>
      </c>
    </row>
    <row r="432" spans="1:15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 t="str">
        <f t="shared" si="20"/>
        <v>Washington</v>
      </c>
      <c r="N432" s="5" t="str">
        <f t="shared" si="18"/>
        <v>M</v>
      </c>
      <c r="O432" s="5" t="str">
        <f t="shared" si="19"/>
        <v>Bachelor</v>
      </c>
    </row>
    <row r="433" spans="1:15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 t="str">
        <f t="shared" si="20"/>
        <v>Washington</v>
      </c>
      <c r="N433" s="5" t="str">
        <f t="shared" si="18"/>
        <v>F</v>
      </c>
      <c r="O433" s="5" t="str">
        <f t="shared" si="19"/>
        <v>Bachelor</v>
      </c>
    </row>
    <row r="434" spans="1:15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 t="str">
        <f t="shared" si="20"/>
        <v>California</v>
      </c>
      <c r="N434" s="5" t="str">
        <f t="shared" si="18"/>
        <v>M</v>
      </c>
      <c r="O434" s="5" t="str">
        <f t="shared" si="19"/>
        <v>College</v>
      </c>
    </row>
    <row r="435" spans="1:15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 t="str">
        <f t="shared" si="20"/>
        <v>Oregon</v>
      </c>
      <c r="N435" s="5" t="str">
        <f t="shared" si="18"/>
        <v>F</v>
      </c>
      <c r="O435" s="5" t="str">
        <f t="shared" si="19"/>
        <v>Master</v>
      </c>
    </row>
    <row r="436" spans="1:15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 t="str">
        <f t="shared" si="20"/>
        <v>Washington</v>
      </c>
      <c r="N436" s="5" t="str">
        <f t="shared" si="18"/>
        <v>F</v>
      </c>
      <c r="O436" s="5" t="str">
        <f t="shared" si="19"/>
        <v>College</v>
      </c>
    </row>
    <row r="437" spans="1:15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 t="str">
        <f t="shared" si="20"/>
        <v>California</v>
      </c>
      <c r="N437" s="5" t="str">
        <f t="shared" si="18"/>
        <v>M</v>
      </c>
      <c r="O437" s="5" t="str">
        <f t="shared" si="19"/>
        <v>Doctor</v>
      </c>
    </row>
    <row r="438" spans="1:15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 t="str">
        <f t="shared" si="20"/>
        <v>Washington</v>
      </c>
      <c r="N438" s="5" t="str">
        <f t="shared" si="18"/>
        <v>M</v>
      </c>
      <c r="O438" s="5" t="str">
        <f t="shared" si="19"/>
        <v>High School or Below</v>
      </c>
    </row>
    <row r="439" spans="1:15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 t="str">
        <f t="shared" si="20"/>
        <v>Oregon</v>
      </c>
      <c r="N439" s="5" t="str">
        <f t="shared" si="18"/>
        <v>F</v>
      </c>
      <c r="O439" s="5" t="str">
        <f t="shared" si="19"/>
        <v>Bachelor</v>
      </c>
    </row>
    <row r="440" spans="1:15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 t="str">
        <f t="shared" si="20"/>
        <v>Nevada</v>
      </c>
      <c r="N440" s="5" t="str">
        <f t="shared" si="18"/>
        <v>M</v>
      </c>
      <c r="O440" s="5" t="str">
        <f t="shared" si="19"/>
        <v>High School or Below</v>
      </c>
    </row>
    <row r="441" spans="1:15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 t="str">
        <f t="shared" si="20"/>
        <v>Oregon</v>
      </c>
      <c r="N441" s="5" t="str">
        <f t="shared" si="18"/>
        <v>F</v>
      </c>
      <c r="O441" s="5" t="str">
        <f t="shared" si="19"/>
        <v>College</v>
      </c>
    </row>
    <row r="442" spans="1:15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 t="str">
        <f t="shared" si="20"/>
        <v>Washington</v>
      </c>
      <c r="N442" s="5" t="str">
        <f t="shared" si="18"/>
        <v>M</v>
      </c>
      <c r="O442" s="5" t="str">
        <f t="shared" si="19"/>
        <v>High School or Below</v>
      </c>
    </row>
    <row r="443" spans="1:15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 t="str">
        <f t="shared" si="20"/>
        <v>Nevada</v>
      </c>
      <c r="N443" s="5" t="str">
        <f t="shared" si="18"/>
        <v>M</v>
      </c>
      <c r="O443" s="5" t="str">
        <f t="shared" si="19"/>
        <v>High School or Below</v>
      </c>
    </row>
    <row r="444" spans="1:15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 t="str">
        <f t="shared" si="20"/>
        <v>Oregon</v>
      </c>
      <c r="N444" s="5" t="str">
        <f t="shared" si="18"/>
        <v>M</v>
      </c>
      <c r="O444" s="5" t="str">
        <f t="shared" si="19"/>
        <v>College</v>
      </c>
    </row>
    <row r="445" spans="1:15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 t="str">
        <f t="shared" si="20"/>
        <v>Oregon</v>
      </c>
      <c r="N445" s="5" t="str">
        <f t="shared" si="18"/>
        <v>F</v>
      </c>
      <c r="O445" s="5" t="str">
        <f t="shared" si="19"/>
        <v>High School or Below</v>
      </c>
    </row>
    <row r="446" spans="1:15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 t="str">
        <f t="shared" si="20"/>
        <v>Arizona</v>
      </c>
      <c r="N446" s="5" t="str">
        <f t="shared" si="18"/>
        <v>F</v>
      </c>
      <c r="O446" s="5" t="str">
        <f t="shared" si="19"/>
        <v>College</v>
      </c>
    </row>
    <row r="447" spans="1:15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 t="str">
        <f t="shared" si="20"/>
        <v>California</v>
      </c>
      <c r="N447" s="5" t="str">
        <f t="shared" si="18"/>
        <v>F</v>
      </c>
      <c r="O447" s="5" t="str">
        <f t="shared" si="19"/>
        <v>Bachelor</v>
      </c>
    </row>
    <row r="448" spans="1:15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 t="str">
        <f t="shared" si="20"/>
        <v>California</v>
      </c>
      <c r="N448" s="5" t="str">
        <f t="shared" si="18"/>
        <v>M</v>
      </c>
      <c r="O448" s="5" t="str">
        <f t="shared" si="19"/>
        <v>High School or Below</v>
      </c>
    </row>
    <row r="449" spans="1:15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 t="str">
        <f t="shared" si="20"/>
        <v>California</v>
      </c>
      <c r="N449" s="5" t="str">
        <f t="shared" si="18"/>
        <v>M</v>
      </c>
      <c r="O449" s="5" t="str">
        <f t="shared" si="19"/>
        <v>High School or Below</v>
      </c>
    </row>
    <row r="450" spans="1:15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 t="str">
        <f t="shared" si="20"/>
        <v>Nevada</v>
      </c>
      <c r="N450" s="5" t="str">
        <f t="shared" ref="N450:N513" si="21">IF(OR(C450="F",C450="Femal",C450="female"),"F",IF(OR(C450="M",C450="Male"),"M","NA"))</f>
        <v>M</v>
      </c>
      <c r="O450" s="5" t="str">
        <f t="shared" ref="O450:O513" si="22">IF(OR(D450="Bachelor",D450="Bachelors"),"Bachelor",D450)</f>
        <v>Bachelor</v>
      </c>
    </row>
    <row r="451" spans="1:15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 t="str">
        <f t="shared" ref="M451:M514" si="23">IF(OR(B451="Arizona",B451="AZ"),"Arizona",IF(OR(B451="California",B451="Cali"),"California",IF(B451="Nevada","Nevada",IF(B451="Oregon","Oregon",IF(OR(B451="Washington",B451="WA"),"Washington",B451)))))</f>
        <v>Washington</v>
      </c>
      <c r="N451" s="5" t="str">
        <f t="shared" si="21"/>
        <v>NA</v>
      </c>
      <c r="O451" s="5" t="str">
        <f t="shared" si="22"/>
        <v>College</v>
      </c>
    </row>
    <row r="452" spans="1:15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 t="str">
        <f t="shared" si="23"/>
        <v>Oregon</v>
      </c>
      <c r="N452" s="5" t="str">
        <f t="shared" si="21"/>
        <v>F</v>
      </c>
      <c r="O452" s="5" t="str">
        <f t="shared" si="22"/>
        <v>Bachelor</v>
      </c>
    </row>
    <row r="453" spans="1:15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 t="str">
        <f t="shared" si="23"/>
        <v>Oregon</v>
      </c>
      <c r="N453" s="5" t="str">
        <f t="shared" si="21"/>
        <v>M</v>
      </c>
      <c r="O453" s="5" t="str">
        <f t="shared" si="22"/>
        <v>Bachelor</v>
      </c>
    </row>
    <row r="454" spans="1:15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 t="str">
        <f t="shared" si="23"/>
        <v>Oregon</v>
      </c>
      <c r="N454" s="5" t="str">
        <f t="shared" si="21"/>
        <v>F</v>
      </c>
      <c r="O454" s="5" t="str">
        <f t="shared" si="22"/>
        <v>High School or Below</v>
      </c>
    </row>
    <row r="455" spans="1:15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 t="str">
        <f t="shared" si="23"/>
        <v>Nevada</v>
      </c>
      <c r="N455" s="5" t="str">
        <f t="shared" si="21"/>
        <v>M</v>
      </c>
      <c r="O455" s="5" t="str">
        <f t="shared" si="22"/>
        <v>Master</v>
      </c>
    </row>
    <row r="456" spans="1:15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 t="str">
        <f t="shared" si="23"/>
        <v>Nevada</v>
      </c>
      <c r="N456" s="5" t="str">
        <f t="shared" si="21"/>
        <v>M</v>
      </c>
      <c r="O456" s="5" t="str">
        <f t="shared" si="22"/>
        <v>College</v>
      </c>
    </row>
    <row r="457" spans="1:15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 t="str">
        <f t="shared" si="23"/>
        <v>Oregon</v>
      </c>
      <c r="N457" s="5" t="str">
        <f t="shared" si="21"/>
        <v>M</v>
      </c>
      <c r="O457" s="5" t="str">
        <f t="shared" si="22"/>
        <v>Bachelor</v>
      </c>
    </row>
    <row r="458" spans="1:15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 t="str">
        <f t="shared" si="23"/>
        <v>Nevada</v>
      </c>
      <c r="N458" s="5" t="str">
        <f t="shared" si="21"/>
        <v>M</v>
      </c>
      <c r="O458" s="5" t="str">
        <f t="shared" si="22"/>
        <v>Doctor</v>
      </c>
    </row>
    <row r="459" spans="1:15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 t="str">
        <f t="shared" si="23"/>
        <v>California</v>
      </c>
      <c r="N459" s="5" t="str">
        <f t="shared" si="21"/>
        <v>F</v>
      </c>
      <c r="O459" s="5" t="str">
        <f t="shared" si="22"/>
        <v>Bachelor</v>
      </c>
    </row>
    <row r="460" spans="1:15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 t="str">
        <f t="shared" si="23"/>
        <v>California</v>
      </c>
      <c r="N460" s="5" t="str">
        <f t="shared" si="21"/>
        <v>M</v>
      </c>
      <c r="O460" s="5" t="str">
        <f t="shared" si="22"/>
        <v>High School or Below</v>
      </c>
    </row>
    <row r="461" spans="1:15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 t="str">
        <f t="shared" si="23"/>
        <v>California</v>
      </c>
      <c r="N461" s="5" t="str">
        <f t="shared" si="21"/>
        <v>F</v>
      </c>
      <c r="O461" s="5" t="str">
        <f t="shared" si="22"/>
        <v>Bachelor</v>
      </c>
    </row>
    <row r="462" spans="1:15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 t="str">
        <f t="shared" si="23"/>
        <v>Oregon</v>
      </c>
      <c r="N462" s="5" t="str">
        <f t="shared" si="21"/>
        <v>F</v>
      </c>
      <c r="O462" s="5" t="str">
        <f t="shared" si="22"/>
        <v>High School or Below</v>
      </c>
    </row>
    <row r="463" spans="1:15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 t="str">
        <f t="shared" si="23"/>
        <v>California</v>
      </c>
      <c r="N463" s="5" t="str">
        <f t="shared" si="21"/>
        <v>F</v>
      </c>
      <c r="O463" s="5" t="str">
        <f t="shared" si="22"/>
        <v>College</v>
      </c>
    </row>
    <row r="464" spans="1:15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 t="str">
        <f t="shared" si="23"/>
        <v>Nevada</v>
      </c>
      <c r="N464" s="5" t="str">
        <f t="shared" si="21"/>
        <v>M</v>
      </c>
      <c r="O464" s="5" t="str">
        <f t="shared" si="22"/>
        <v>College</v>
      </c>
    </row>
    <row r="465" spans="1:15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 t="str">
        <f t="shared" si="23"/>
        <v>Arizona</v>
      </c>
      <c r="N465" s="5" t="str">
        <f t="shared" si="21"/>
        <v>M</v>
      </c>
      <c r="O465" s="5" t="str">
        <f t="shared" si="22"/>
        <v>Doctor</v>
      </c>
    </row>
    <row r="466" spans="1:15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 t="str">
        <f t="shared" si="23"/>
        <v>Oregon</v>
      </c>
      <c r="N466" s="5" t="str">
        <f t="shared" si="21"/>
        <v>M</v>
      </c>
      <c r="O466" s="5" t="str">
        <f t="shared" si="22"/>
        <v>College</v>
      </c>
    </row>
    <row r="467" spans="1:15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 t="str">
        <f t="shared" si="23"/>
        <v>Oregon</v>
      </c>
      <c r="N467" s="5" t="str">
        <f t="shared" si="21"/>
        <v>M</v>
      </c>
      <c r="O467" s="5" t="str">
        <f t="shared" si="22"/>
        <v>Bachelor</v>
      </c>
    </row>
    <row r="468" spans="1:15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 t="str">
        <f t="shared" si="23"/>
        <v>California</v>
      </c>
      <c r="N468" s="5" t="str">
        <f t="shared" si="21"/>
        <v>M</v>
      </c>
      <c r="O468" s="5" t="str">
        <f t="shared" si="22"/>
        <v>Bachelor</v>
      </c>
    </row>
    <row r="469" spans="1:15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 t="str">
        <f t="shared" si="23"/>
        <v>Oregon</v>
      </c>
      <c r="N469" s="5" t="str">
        <f t="shared" si="21"/>
        <v>F</v>
      </c>
      <c r="O469" s="5" t="str">
        <f t="shared" si="22"/>
        <v>Bachelor</v>
      </c>
    </row>
    <row r="470" spans="1:15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 t="str">
        <f t="shared" si="23"/>
        <v>Arizona</v>
      </c>
      <c r="N470" s="5" t="str">
        <f t="shared" si="21"/>
        <v>F</v>
      </c>
      <c r="O470" s="5" t="str">
        <f t="shared" si="22"/>
        <v>Bachelor</v>
      </c>
    </row>
    <row r="471" spans="1:15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 t="str">
        <f t="shared" si="23"/>
        <v>California</v>
      </c>
      <c r="N471" s="5" t="str">
        <f t="shared" si="21"/>
        <v>M</v>
      </c>
      <c r="O471" s="5" t="str">
        <f t="shared" si="22"/>
        <v>College</v>
      </c>
    </row>
    <row r="472" spans="1:15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 t="str">
        <f t="shared" si="23"/>
        <v>California</v>
      </c>
      <c r="N472" s="5" t="str">
        <f t="shared" si="21"/>
        <v>M</v>
      </c>
      <c r="O472" s="5" t="str">
        <f t="shared" si="22"/>
        <v>High School or Below</v>
      </c>
    </row>
    <row r="473" spans="1:15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 t="str">
        <f t="shared" si="23"/>
        <v>Arizona</v>
      </c>
      <c r="N473" s="5" t="str">
        <f t="shared" si="21"/>
        <v>F</v>
      </c>
      <c r="O473" s="5" t="str">
        <f t="shared" si="22"/>
        <v>College</v>
      </c>
    </row>
    <row r="474" spans="1:15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 t="str">
        <f t="shared" si="23"/>
        <v>Arizona</v>
      </c>
      <c r="N474" s="5" t="str">
        <f t="shared" si="21"/>
        <v>M</v>
      </c>
      <c r="O474" s="5" t="str">
        <f t="shared" si="22"/>
        <v>Bachelor</v>
      </c>
    </row>
    <row r="475" spans="1:15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 t="str">
        <f t="shared" si="23"/>
        <v>Arizona</v>
      </c>
      <c r="N475" s="5" t="str">
        <f t="shared" si="21"/>
        <v>M</v>
      </c>
      <c r="O475" s="5" t="str">
        <f t="shared" si="22"/>
        <v>High School or Below</v>
      </c>
    </row>
    <row r="476" spans="1:15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 t="str">
        <f t="shared" si="23"/>
        <v>Arizona</v>
      </c>
      <c r="N476" s="5" t="str">
        <f t="shared" si="21"/>
        <v>F</v>
      </c>
      <c r="O476" s="5" t="str">
        <f t="shared" si="22"/>
        <v>College</v>
      </c>
    </row>
    <row r="477" spans="1:15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 t="str">
        <f t="shared" si="23"/>
        <v>Oregon</v>
      </c>
      <c r="N477" s="5" t="str">
        <f t="shared" si="21"/>
        <v>F</v>
      </c>
      <c r="O477" s="5" t="str">
        <f t="shared" si="22"/>
        <v>Bachelor</v>
      </c>
    </row>
    <row r="478" spans="1:15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 t="str">
        <f t="shared" si="23"/>
        <v>Nevada</v>
      </c>
      <c r="N478" s="5" t="str">
        <f t="shared" si="21"/>
        <v>M</v>
      </c>
      <c r="O478" s="5" t="str">
        <f t="shared" si="22"/>
        <v>College</v>
      </c>
    </row>
    <row r="479" spans="1:15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 t="str">
        <f t="shared" si="23"/>
        <v>Arizona</v>
      </c>
      <c r="N479" s="5" t="str">
        <f t="shared" si="21"/>
        <v>M</v>
      </c>
      <c r="O479" s="5" t="str">
        <f t="shared" si="22"/>
        <v>College</v>
      </c>
    </row>
    <row r="480" spans="1:15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 t="str">
        <f t="shared" si="23"/>
        <v>Oregon</v>
      </c>
      <c r="N480" s="5" t="str">
        <f t="shared" si="21"/>
        <v>F</v>
      </c>
      <c r="O480" s="5" t="str">
        <f t="shared" si="22"/>
        <v>High School or Below</v>
      </c>
    </row>
    <row r="481" spans="1:15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 t="str">
        <f t="shared" si="23"/>
        <v>Washington</v>
      </c>
      <c r="N481" s="5" t="str">
        <f t="shared" si="21"/>
        <v>F</v>
      </c>
      <c r="O481" s="5" t="str">
        <f t="shared" si="22"/>
        <v>College</v>
      </c>
    </row>
    <row r="482" spans="1:15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 t="str">
        <f t="shared" si="23"/>
        <v>Oregon</v>
      </c>
      <c r="N482" s="5" t="str">
        <f t="shared" si="21"/>
        <v>M</v>
      </c>
      <c r="O482" s="5" t="str">
        <f t="shared" si="22"/>
        <v>Bachelor</v>
      </c>
    </row>
    <row r="483" spans="1:15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 t="str">
        <f t="shared" si="23"/>
        <v>Washington</v>
      </c>
      <c r="N483" s="5" t="str">
        <f t="shared" si="21"/>
        <v>M</v>
      </c>
      <c r="O483" s="5" t="str">
        <f t="shared" si="22"/>
        <v>Master</v>
      </c>
    </row>
    <row r="484" spans="1:15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 t="str">
        <f t="shared" si="23"/>
        <v>Arizona</v>
      </c>
      <c r="N484" s="5" t="str">
        <f t="shared" si="21"/>
        <v>F</v>
      </c>
      <c r="O484" s="5" t="str">
        <f t="shared" si="22"/>
        <v>College</v>
      </c>
    </row>
    <row r="485" spans="1:15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 t="str">
        <f t="shared" si="23"/>
        <v>California</v>
      </c>
      <c r="N485" s="5" t="str">
        <f t="shared" si="21"/>
        <v>F</v>
      </c>
      <c r="O485" s="5" t="str">
        <f t="shared" si="22"/>
        <v>College</v>
      </c>
    </row>
    <row r="486" spans="1:15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 t="str">
        <f t="shared" si="23"/>
        <v>Arizona</v>
      </c>
      <c r="N486" s="5" t="str">
        <f t="shared" si="21"/>
        <v>F</v>
      </c>
      <c r="O486" s="5" t="str">
        <f t="shared" si="22"/>
        <v>Master</v>
      </c>
    </row>
    <row r="487" spans="1:15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 t="str">
        <f t="shared" si="23"/>
        <v>Arizona</v>
      </c>
      <c r="N487" s="5" t="str">
        <f t="shared" si="21"/>
        <v>F</v>
      </c>
      <c r="O487" s="5" t="str">
        <f t="shared" si="22"/>
        <v>College</v>
      </c>
    </row>
    <row r="488" spans="1:15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 t="str">
        <f t="shared" si="23"/>
        <v>Arizona</v>
      </c>
      <c r="N488" s="5" t="str">
        <f t="shared" si="21"/>
        <v>F</v>
      </c>
      <c r="O488" s="5" t="str">
        <f t="shared" si="22"/>
        <v>Bachelor</v>
      </c>
    </row>
    <row r="489" spans="1:15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 t="str">
        <f t="shared" si="23"/>
        <v>California</v>
      </c>
      <c r="N489" s="5" t="str">
        <f t="shared" si="21"/>
        <v>M</v>
      </c>
      <c r="O489" s="5" t="str">
        <f t="shared" si="22"/>
        <v>College</v>
      </c>
    </row>
    <row r="490" spans="1:15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 t="str">
        <f t="shared" si="23"/>
        <v>Oregon</v>
      </c>
      <c r="N490" s="5" t="str">
        <f t="shared" si="21"/>
        <v>M</v>
      </c>
      <c r="O490" s="5" t="str">
        <f t="shared" si="22"/>
        <v>High School or Below</v>
      </c>
    </row>
    <row r="491" spans="1:15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 t="str">
        <f t="shared" si="23"/>
        <v>Oregon</v>
      </c>
      <c r="N491" s="5" t="str">
        <f t="shared" si="21"/>
        <v>F</v>
      </c>
      <c r="O491" s="5" t="str">
        <f t="shared" si="22"/>
        <v>Master</v>
      </c>
    </row>
    <row r="492" spans="1:15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 t="str">
        <f t="shared" si="23"/>
        <v>California</v>
      </c>
      <c r="N492" s="5" t="str">
        <f t="shared" si="21"/>
        <v>F</v>
      </c>
      <c r="O492" s="5" t="str">
        <f t="shared" si="22"/>
        <v>High School or Below</v>
      </c>
    </row>
    <row r="493" spans="1:15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 t="str">
        <f t="shared" si="23"/>
        <v>Oregon</v>
      </c>
      <c r="N493" s="5" t="str">
        <f t="shared" si="21"/>
        <v>F</v>
      </c>
      <c r="O493" s="5" t="str">
        <f t="shared" si="22"/>
        <v>College</v>
      </c>
    </row>
    <row r="494" spans="1:15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 t="str">
        <f t="shared" si="23"/>
        <v>Nevada</v>
      </c>
      <c r="N494" s="5" t="str">
        <f t="shared" si="21"/>
        <v>M</v>
      </c>
      <c r="O494" s="5" t="str">
        <f t="shared" si="22"/>
        <v>High School or Below</v>
      </c>
    </row>
    <row r="495" spans="1:15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 t="str">
        <f t="shared" si="23"/>
        <v>Arizona</v>
      </c>
      <c r="N495" s="5" t="str">
        <f t="shared" si="21"/>
        <v>M</v>
      </c>
      <c r="O495" s="5" t="str">
        <f t="shared" si="22"/>
        <v>High School or Below</v>
      </c>
    </row>
    <row r="496" spans="1:15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 t="str">
        <f t="shared" si="23"/>
        <v>California</v>
      </c>
      <c r="N496" s="5" t="str">
        <f t="shared" si="21"/>
        <v>F</v>
      </c>
      <c r="O496" s="5" t="str">
        <f t="shared" si="22"/>
        <v>Master</v>
      </c>
    </row>
    <row r="497" spans="1:15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 t="str">
        <f t="shared" si="23"/>
        <v>California</v>
      </c>
      <c r="N497" s="5" t="str">
        <f t="shared" si="21"/>
        <v>F</v>
      </c>
      <c r="O497" s="5" t="str">
        <f t="shared" si="22"/>
        <v>College</v>
      </c>
    </row>
    <row r="498" spans="1:15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 t="str">
        <f t="shared" si="23"/>
        <v>Oregon</v>
      </c>
      <c r="N498" s="5" t="str">
        <f t="shared" si="21"/>
        <v>M</v>
      </c>
      <c r="O498" s="5" t="str">
        <f t="shared" si="22"/>
        <v>High School or Below</v>
      </c>
    </row>
    <row r="499" spans="1:15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 t="str">
        <f t="shared" si="23"/>
        <v>Arizona</v>
      </c>
      <c r="N499" s="5" t="str">
        <f t="shared" si="21"/>
        <v>F</v>
      </c>
      <c r="O499" s="5" t="str">
        <f t="shared" si="22"/>
        <v>High School or Below</v>
      </c>
    </row>
    <row r="500" spans="1:15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 t="str">
        <f t="shared" si="23"/>
        <v>Nevada</v>
      </c>
      <c r="N500" s="5" t="str">
        <f t="shared" si="21"/>
        <v>M</v>
      </c>
      <c r="O500" s="5" t="str">
        <f t="shared" si="22"/>
        <v>Doctor</v>
      </c>
    </row>
    <row r="501" spans="1:15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 t="str">
        <f t="shared" si="23"/>
        <v>Oregon</v>
      </c>
      <c r="N501" s="5" t="str">
        <f t="shared" si="21"/>
        <v>M</v>
      </c>
      <c r="O501" s="5" t="str">
        <f t="shared" si="22"/>
        <v>High School or Below</v>
      </c>
    </row>
    <row r="502" spans="1:15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 t="str">
        <f t="shared" si="23"/>
        <v>Nevada</v>
      </c>
      <c r="N502" s="5" t="str">
        <f t="shared" si="21"/>
        <v>F</v>
      </c>
      <c r="O502" s="5" t="str">
        <f t="shared" si="22"/>
        <v>Bachelor</v>
      </c>
    </row>
    <row r="503" spans="1:15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 t="str">
        <f t="shared" si="23"/>
        <v>California</v>
      </c>
      <c r="N503" s="5" t="str">
        <f t="shared" si="21"/>
        <v>M</v>
      </c>
      <c r="O503" s="5" t="str">
        <f t="shared" si="22"/>
        <v>High School or Below</v>
      </c>
    </row>
    <row r="504" spans="1:15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 t="str">
        <f t="shared" si="23"/>
        <v>Nevada</v>
      </c>
      <c r="N504" s="5" t="str">
        <f t="shared" si="21"/>
        <v>M</v>
      </c>
      <c r="O504" s="5" t="str">
        <f t="shared" si="22"/>
        <v>College</v>
      </c>
    </row>
    <row r="505" spans="1:15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 t="str">
        <f t="shared" si="23"/>
        <v>Arizona</v>
      </c>
      <c r="N505" s="5" t="str">
        <f t="shared" si="21"/>
        <v>M</v>
      </c>
      <c r="O505" s="5" t="str">
        <f t="shared" si="22"/>
        <v>College</v>
      </c>
    </row>
    <row r="506" spans="1:15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 t="str">
        <f t="shared" si="23"/>
        <v>Oregon</v>
      </c>
      <c r="N506" s="5" t="str">
        <f t="shared" si="21"/>
        <v>F</v>
      </c>
      <c r="O506" s="5" t="str">
        <f t="shared" si="22"/>
        <v>College</v>
      </c>
    </row>
    <row r="507" spans="1:15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 t="str">
        <f t="shared" si="23"/>
        <v>California</v>
      </c>
      <c r="N507" s="5" t="str">
        <f t="shared" si="21"/>
        <v>M</v>
      </c>
      <c r="O507" s="5" t="str">
        <f t="shared" si="22"/>
        <v>High School or Below</v>
      </c>
    </row>
    <row r="508" spans="1:15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 t="str">
        <f t="shared" si="23"/>
        <v>Oregon</v>
      </c>
      <c r="N508" s="5" t="str">
        <f t="shared" si="21"/>
        <v>F</v>
      </c>
      <c r="O508" s="5" t="str">
        <f t="shared" si="22"/>
        <v>College</v>
      </c>
    </row>
    <row r="509" spans="1:15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 t="str">
        <f t="shared" si="23"/>
        <v>Oregon</v>
      </c>
      <c r="N509" s="5" t="str">
        <f t="shared" si="21"/>
        <v>F</v>
      </c>
      <c r="O509" s="5" t="str">
        <f t="shared" si="22"/>
        <v>Doctor</v>
      </c>
    </row>
    <row r="510" spans="1:15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 t="str">
        <f t="shared" si="23"/>
        <v>Nevada</v>
      </c>
      <c r="N510" s="5" t="str">
        <f t="shared" si="21"/>
        <v>F</v>
      </c>
      <c r="O510" s="5" t="str">
        <f t="shared" si="22"/>
        <v>Bachelor</v>
      </c>
    </row>
    <row r="511" spans="1:15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 t="str">
        <f t="shared" si="23"/>
        <v>Oregon</v>
      </c>
      <c r="N511" s="5" t="str">
        <f t="shared" si="21"/>
        <v>M</v>
      </c>
      <c r="O511" s="5" t="str">
        <f t="shared" si="22"/>
        <v>High School or Below</v>
      </c>
    </row>
    <row r="512" spans="1:15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 t="str">
        <f t="shared" si="23"/>
        <v>Oregon</v>
      </c>
      <c r="N512" s="5" t="str">
        <f t="shared" si="21"/>
        <v>F</v>
      </c>
      <c r="O512" s="5" t="str">
        <f t="shared" si="22"/>
        <v>College</v>
      </c>
    </row>
    <row r="513" spans="1:15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 t="str">
        <f t="shared" si="23"/>
        <v>Oregon</v>
      </c>
      <c r="N513" s="5" t="str">
        <f t="shared" si="21"/>
        <v>M</v>
      </c>
      <c r="O513" s="5" t="str">
        <f t="shared" si="22"/>
        <v>Bachelor</v>
      </c>
    </row>
    <row r="514" spans="1:15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 t="str">
        <f t="shared" si="23"/>
        <v>Oregon</v>
      </c>
      <c r="N514" s="5" t="str">
        <f t="shared" ref="N514:N577" si="24">IF(OR(C514="F",C514="Femal",C514="female"),"F",IF(OR(C514="M",C514="Male"),"M","NA"))</f>
        <v>M</v>
      </c>
      <c r="O514" s="5" t="str">
        <f t="shared" ref="O514:O577" si="25">IF(OR(D514="Bachelor",D514="Bachelors"),"Bachelor",D514)</f>
        <v>College</v>
      </c>
    </row>
    <row r="515" spans="1:15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 t="str">
        <f t="shared" ref="M515:M578" si="26">IF(OR(B515="Arizona",B515="AZ"),"Arizona",IF(OR(B515="California",B515="Cali"),"California",IF(B515="Nevada","Nevada",IF(B515="Oregon","Oregon",IF(OR(B515="Washington",B515="WA"),"Washington",B515)))))</f>
        <v>California</v>
      </c>
      <c r="N515" s="5" t="str">
        <f t="shared" si="24"/>
        <v>F</v>
      </c>
      <c r="O515" s="5" t="str">
        <f t="shared" si="25"/>
        <v>High School or Below</v>
      </c>
    </row>
    <row r="516" spans="1:15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 t="str">
        <f t="shared" si="26"/>
        <v>California</v>
      </c>
      <c r="N516" s="5" t="str">
        <f t="shared" si="24"/>
        <v>F</v>
      </c>
      <c r="O516" s="5" t="str">
        <f t="shared" si="25"/>
        <v>High School or Below</v>
      </c>
    </row>
    <row r="517" spans="1:15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 t="str">
        <f t="shared" si="26"/>
        <v>California</v>
      </c>
      <c r="N517" s="5" t="str">
        <f t="shared" si="24"/>
        <v>F</v>
      </c>
      <c r="O517" s="5" t="str">
        <f t="shared" si="25"/>
        <v>High School or Below</v>
      </c>
    </row>
    <row r="518" spans="1:15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 t="str">
        <f t="shared" si="26"/>
        <v>Arizona</v>
      </c>
      <c r="N518" s="5" t="str">
        <f t="shared" si="24"/>
        <v>F</v>
      </c>
      <c r="O518" s="5" t="str">
        <f t="shared" si="25"/>
        <v>Bachelor</v>
      </c>
    </row>
    <row r="519" spans="1:15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 t="str">
        <f t="shared" si="26"/>
        <v>Arizona</v>
      </c>
      <c r="N519" s="5" t="str">
        <f t="shared" si="24"/>
        <v>M</v>
      </c>
      <c r="O519" s="5" t="str">
        <f t="shared" si="25"/>
        <v>Bachelor</v>
      </c>
    </row>
    <row r="520" spans="1:15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 t="str">
        <f t="shared" si="26"/>
        <v>Oregon</v>
      </c>
      <c r="N520" s="5" t="str">
        <f t="shared" si="24"/>
        <v>F</v>
      </c>
      <c r="O520" s="5" t="str">
        <f t="shared" si="25"/>
        <v>High School or Below</v>
      </c>
    </row>
    <row r="521" spans="1:15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 t="str">
        <f t="shared" si="26"/>
        <v>Oregon</v>
      </c>
      <c r="N521" s="5" t="str">
        <f t="shared" si="24"/>
        <v>F</v>
      </c>
      <c r="O521" s="5" t="str">
        <f t="shared" si="25"/>
        <v>College</v>
      </c>
    </row>
    <row r="522" spans="1:15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 t="str">
        <f t="shared" si="26"/>
        <v>California</v>
      </c>
      <c r="N522" s="5" t="str">
        <f t="shared" si="24"/>
        <v>F</v>
      </c>
      <c r="O522" s="5" t="str">
        <f t="shared" si="25"/>
        <v>Bachelor</v>
      </c>
    </row>
    <row r="523" spans="1:15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 t="str">
        <f t="shared" si="26"/>
        <v>Oregon</v>
      </c>
      <c r="N523" s="5" t="str">
        <f t="shared" si="24"/>
        <v>M</v>
      </c>
      <c r="O523" s="5" t="str">
        <f t="shared" si="25"/>
        <v>High School or Below</v>
      </c>
    </row>
    <row r="524" spans="1:15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 t="str">
        <f t="shared" si="26"/>
        <v>California</v>
      </c>
      <c r="N524" s="5" t="str">
        <f t="shared" si="24"/>
        <v>M</v>
      </c>
      <c r="O524" s="5" t="str">
        <f t="shared" si="25"/>
        <v>College</v>
      </c>
    </row>
    <row r="525" spans="1:15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 t="str">
        <f t="shared" si="26"/>
        <v>Nevada</v>
      </c>
      <c r="N525" s="5" t="str">
        <f t="shared" si="24"/>
        <v>F</v>
      </c>
      <c r="O525" s="5" t="str">
        <f t="shared" si="25"/>
        <v>Bachelor</v>
      </c>
    </row>
    <row r="526" spans="1:15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 t="str">
        <f t="shared" si="26"/>
        <v>Arizona</v>
      </c>
      <c r="N526" s="5" t="str">
        <f t="shared" si="24"/>
        <v>M</v>
      </c>
      <c r="O526" s="5" t="str">
        <f t="shared" si="25"/>
        <v>College</v>
      </c>
    </row>
    <row r="527" spans="1:15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 t="str">
        <f t="shared" si="26"/>
        <v>Arizona</v>
      </c>
      <c r="N527" s="5" t="str">
        <f t="shared" si="24"/>
        <v>F</v>
      </c>
      <c r="O527" s="5" t="str">
        <f t="shared" si="25"/>
        <v>High School or Below</v>
      </c>
    </row>
    <row r="528" spans="1:15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 t="str">
        <f t="shared" si="26"/>
        <v>Oregon</v>
      </c>
      <c r="N528" s="5" t="str">
        <f t="shared" si="24"/>
        <v>M</v>
      </c>
      <c r="O528" s="5" t="str">
        <f t="shared" si="25"/>
        <v>Bachelor</v>
      </c>
    </row>
    <row r="529" spans="1:15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 t="str">
        <f t="shared" si="26"/>
        <v>Oregon</v>
      </c>
      <c r="N529" s="5" t="str">
        <f t="shared" si="24"/>
        <v>M</v>
      </c>
      <c r="O529" s="5" t="str">
        <f t="shared" si="25"/>
        <v>College</v>
      </c>
    </row>
    <row r="530" spans="1:15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 t="str">
        <f t="shared" si="26"/>
        <v>Oregon</v>
      </c>
      <c r="N530" s="5" t="str">
        <f t="shared" si="24"/>
        <v>M</v>
      </c>
      <c r="O530" s="5" t="str">
        <f t="shared" si="25"/>
        <v>High School or Below</v>
      </c>
    </row>
    <row r="531" spans="1:15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 t="str">
        <f t="shared" si="26"/>
        <v>California</v>
      </c>
      <c r="N531" s="5" t="str">
        <f t="shared" si="24"/>
        <v>F</v>
      </c>
      <c r="O531" s="5" t="str">
        <f t="shared" si="25"/>
        <v>Master</v>
      </c>
    </row>
    <row r="532" spans="1:15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 t="str">
        <f t="shared" si="26"/>
        <v>Arizona</v>
      </c>
      <c r="N532" s="5" t="str">
        <f t="shared" si="24"/>
        <v>M</v>
      </c>
      <c r="O532" s="5" t="str">
        <f t="shared" si="25"/>
        <v>College</v>
      </c>
    </row>
    <row r="533" spans="1:15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 t="str">
        <f t="shared" si="26"/>
        <v>Arizona</v>
      </c>
      <c r="N533" s="5" t="str">
        <f t="shared" si="24"/>
        <v>F</v>
      </c>
      <c r="O533" s="5" t="str">
        <f t="shared" si="25"/>
        <v>Bachelor</v>
      </c>
    </row>
    <row r="534" spans="1:15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 t="str">
        <f t="shared" si="26"/>
        <v>Oregon</v>
      </c>
      <c r="N534" s="5" t="str">
        <f t="shared" si="24"/>
        <v>M</v>
      </c>
      <c r="O534" s="5" t="str">
        <f t="shared" si="25"/>
        <v>Master</v>
      </c>
    </row>
    <row r="535" spans="1:15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 t="str">
        <f t="shared" si="26"/>
        <v>Arizona</v>
      </c>
      <c r="N535" s="5" t="str">
        <f t="shared" si="24"/>
        <v>F</v>
      </c>
      <c r="O535" s="5" t="str">
        <f t="shared" si="25"/>
        <v>Bachelor</v>
      </c>
    </row>
    <row r="536" spans="1:15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 t="str">
        <f t="shared" si="26"/>
        <v>Nevada</v>
      </c>
      <c r="N536" s="5" t="str">
        <f t="shared" si="24"/>
        <v>F</v>
      </c>
      <c r="O536" s="5" t="str">
        <f t="shared" si="25"/>
        <v>Bachelor</v>
      </c>
    </row>
    <row r="537" spans="1:15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 t="str">
        <f t="shared" si="26"/>
        <v>Arizona</v>
      </c>
      <c r="N537" s="5" t="str">
        <f t="shared" si="24"/>
        <v>F</v>
      </c>
      <c r="O537" s="5" t="str">
        <f t="shared" si="25"/>
        <v>High School or Below</v>
      </c>
    </row>
    <row r="538" spans="1:15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 t="str">
        <f t="shared" si="26"/>
        <v>Oregon</v>
      </c>
      <c r="N538" s="5" t="str">
        <f t="shared" si="24"/>
        <v>F</v>
      </c>
      <c r="O538" s="5" t="str">
        <f t="shared" si="25"/>
        <v>High School or Below</v>
      </c>
    </row>
    <row r="539" spans="1:15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 t="str">
        <f t="shared" si="26"/>
        <v>Oregon</v>
      </c>
      <c r="N539" s="5" t="str">
        <f t="shared" si="24"/>
        <v>F</v>
      </c>
      <c r="O539" s="5" t="str">
        <f t="shared" si="25"/>
        <v>High School or Below</v>
      </c>
    </row>
    <row r="540" spans="1:15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 t="str">
        <f t="shared" si="26"/>
        <v>California</v>
      </c>
      <c r="N540" s="5" t="str">
        <f t="shared" si="24"/>
        <v>M</v>
      </c>
      <c r="O540" s="5" t="str">
        <f t="shared" si="25"/>
        <v>College</v>
      </c>
    </row>
    <row r="541" spans="1:15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 t="str">
        <f t="shared" si="26"/>
        <v>Oregon</v>
      </c>
      <c r="N541" s="5" t="str">
        <f t="shared" si="24"/>
        <v>M</v>
      </c>
      <c r="O541" s="5" t="str">
        <f t="shared" si="25"/>
        <v>Doctor</v>
      </c>
    </row>
    <row r="542" spans="1:15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 t="str">
        <f t="shared" si="26"/>
        <v>Oregon</v>
      </c>
      <c r="N542" s="5" t="str">
        <f t="shared" si="24"/>
        <v>F</v>
      </c>
      <c r="O542" s="5" t="str">
        <f t="shared" si="25"/>
        <v>Master</v>
      </c>
    </row>
    <row r="543" spans="1:15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 t="str">
        <f t="shared" si="26"/>
        <v>Oregon</v>
      </c>
      <c r="N543" s="5" t="str">
        <f t="shared" si="24"/>
        <v>M</v>
      </c>
      <c r="O543" s="5" t="str">
        <f t="shared" si="25"/>
        <v>High School or Below</v>
      </c>
    </row>
    <row r="544" spans="1:15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 t="str">
        <f t="shared" si="26"/>
        <v>Washington</v>
      </c>
      <c r="N544" s="5" t="str">
        <f t="shared" si="24"/>
        <v>F</v>
      </c>
      <c r="O544" s="5" t="str">
        <f t="shared" si="25"/>
        <v>Bachelor</v>
      </c>
    </row>
    <row r="545" spans="1:15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 t="str">
        <f t="shared" si="26"/>
        <v>Arizona</v>
      </c>
      <c r="N545" s="5" t="str">
        <f t="shared" si="24"/>
        <v>M</v>
      </c>
      <c r="O545" s="5" t="str">
        <f t="shared" si="25"/>
        <v>College</v>
      </c>
    </row>
    <row r="546" spans="1:15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 t="str">
        <f t="shared" si="26"/>
        <v>California</v>
      </c>
      <c r="N546" s="5" t="str">
        <f t="shared" si="24"/>
        <v>M</v>
      </c>
      <c r="O546" s="5" t="str">
        <f t="shared" si="25"/>
        <v>High School or Below</v>
      </c>
    </row>
    <row r="547" spans="1:15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 t="str">
        <f t="shared" si="26"/>
        <v>Oregon</v>
      </c>
      <c r="N547" s="5" t="str">
        <f t="shared" si="24"/>
        <v>F</v>
      </c>
      <c r="O547" s="5" t="str">
        <f t="shared" si="25"/>
        <v>High School or Below</v>
      </c>
    </row>
    <row r="548" spans="1:15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 t="str">
        <f t="shared" si="26"/>
        <v>Washington</v>
      </c>
      <c r="N548" s="5" t="str">
        <f t="shared" si="24"/>
        <v>M</v>
      </c>
      <c r="O548" s="5" t="str">
        <f t="shared" si="25"/>
        <v>High School or Below</v>
      </c>
    </row>
    <row r="549" spans="1:15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 t="str">
        <f t="shared" si="26"/>
        <v>Arizona</v>
      </c>
      <c r="N549" s="5" t="str">
        <f t="shared" si="24"/>
        <v>M</v>
      </c>
      <c r="O549" s="5" t="str">
        <f t="shared" si="25"/>
        <v>College</v>
      </c>
    </row>
    <row r="550" spans="1:15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 t="str">
        <f t="shared" si="26"/>
        <v>Arizona</v>
      </c>
      <c r="N550" s="5" t="str">
        <f t="shared" si="24"/>
        <v>M</v>
      </c>
      <c r="O550" s="5" t="str">
        <f t="shared" si="25"/>
        <v>Bachelor</v>
      </c>
    </row>
    <row r="551" spans="1:15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 t="str">
        <f t="shared" si="26"/>
        <v>California</v>
      </c>
      <c r="N551" s="5" t="str">
        <f t="shared" si="24"/>
        <v>F</v>
      </c>
      <c r="O551" s="5" t="str">
        <f t="shared" si="25"/>
        <v>Bachelor</v>
      </c>
    </row>
    <row r="552" spans="1:15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 t="str">
        <f t="shared" si="26"/>
        <v>Oregon</v>
      </c>
      <c r="N552" s="5" t="str">
        <f t="shared" si="24"/>
        <v>F</v>
      </c>
      <c r="O552" s="5" t="str">
        <f t="shared" si="25"/>
        <v>College</v>
      </c>
    </row>
    <row r="553" spans="1:15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 t="str">
        <f t="shared" si="26"/>
        <v>Oregon</v>
      </c>
      <c r="N553" s="5" t="str">
        <f t="shared" si="24"/>
        <v>F</v>
      </c>
      <c r="O553" s="5" t="str">
        <f t="shared" si="25"/>
        <v>College</v>
      </c>
    </row>
    <row r="554" spans="1:15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 t="str">
        <f t="shared" si="26"/>
        <v>Oregon</v>
      </c>
      <c r="N554" s="5" t="str">
        <f t="shared" si="24"/>
        <v>F</v>
      </c>
      <c r="O554" s="5" t="str">
        <f t="shared" si="25"/>
        <v>Master</v>
      </c>
    </row>
    <row r="555" spans="1:15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 t="str">
        <f t="shared" si="26"/>
        <v>Oregon</v>
      </c>
      <c r="N555" s="5" t="str">
        <f t="shared" si="24"/>
        <v>F</v>
      </c>
      <c r="O555" s="5" t="str">
        <f t="shared" si="25"/>
        <v>College</v>
      </c>
    </row>
    <row r="556" spans="1:15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 t="str">
        <f t="shared" si="26"/>
        <v>California</v>
      </c>
      <c r="N556" s="5" t="str">
        <f t="shared" si="24"/>
        <v>M</v>
      </c>
      <c r="O556" s="5" t="str">
        <f t="shared" si="25"/>
        <v>High School or Below</v>
      </c>
    </row>
    <row r="557" spans="1:15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 t="str">
        <f t="shared" si="26"/>
        <v>Arizona</v>
      </c>
      <c r="N557" s="5" t="str">
        <f t="shared" si="24"/>
        <v>M</v>
      </c>
      <c r="O557" s="5" t="str">
        <f t="shared" si="25"/>
        <v>High School or Below</v>
      </c>
    </row>
    <row r="558" spans="1:15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 t="str">
        <f t="shared" si="26"/>
        <v>California</v>
      </c>
      <c r="N558" s="5" t="str">
        <f t="shared" si="24"/>
        <v>M</v>
      </c>
      <c r="O558" s="5" t="str">
        <f t="shared" si="25"/>
        <v>High School or Below</v>
      </c>
    </row>
    <row r="559" spans="1:15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 t="str">
        <f t="shared" si="26"/>
        <v>California</v>
      </c>
      <c r="N559" s="5" t="str">
        <f t="shared" si="24"/>
        <v>M</v>
      </c>
      <c r="O559" s="5" t="str">
        <f t="shared" si="25"/>
        <v>High School or Below</v>
      </c>
    </row>
    <row r="560" spans="1:15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 t="str">
        <f t="shared" si="26"/>
        <v>California</v>
      </c>
      <c r="N560" s="5" t="str">
        <f t="shared" si="24"/>
        <v>F</v>
      </c>
      <c r="O560" s="5" t="str">
        <f t="shared" si="25"/>
        <v>Master</v>
      </c>
    </row>
    <row r="561" spans="1:15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 t="str">
        <f t="shared" si="26"/>
        <v>Arizona</v>
      </c>
      <c r="N561" s="5" t="str">
        <f t="shared" si="24"/>
        <v>F</v>
      </c>
      <c r="O561" s="5" t="str">
        <f t="shared" si="25"/>
        <v>College</v>
      </c>
    </row>
    <row r="562" spans="1:15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 t="str">
        <f t="shared" si="26"/>
        <v>California</v>
      </c>
      <c r="N562" s="5" t="str">
        <f t="shared" si="24"/>
        <v>M</v>
      </c>
      <c r="O562" s="5" t="str">
        <f t="shared" si="25"/>
        <v>Bachelor</v>
      </c>
    </row>
    <row r="563" spans="1:15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 t="str">
        <f t="shared" si="26"/>
        <v>Washington</v>
      </c>
      <c r="N563" s="5" t="str">
        <f t="shared" si="24"/>
        <v>F</v>
      </c>
      <c r="O563" s="5" t="str">
        <f t="shared" si="25"/>
        <v>College</v>
      </c>
    </row>
    <row r="564" spans="1:15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 t="str">
        <f t="shared" si="26"/>
        <v>Oregon</v>
      </c>
      <c r="N564" s="5" t="str">
        <f t="shared" si="24"/>
        <v>F</v>
      </c>
      <c r="O564" s="5" t="str">
        <f t="shared" si="25"/>
        <v>Bachelor</v>
      </c>
    </row>
    <row r="565" spans="1:15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 t="str">
        <f t="shared" si="26"/>
        <v>Nevada</v>
      </c>
      <c r="N565" s="5" t="str">
        <f t="shared" si="24"/>
        <v>M</v>
      </c>
      <c r="O565" s="5" t="str">
        <f t="shared" si="25"/>
        <v>College</v>
      </c>
    </row>
    <row r="566" spans="1:15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 t="str">
        <f t="shared" si="26"/>
        <v>California</v>
      </c>
      <c r="N566" s="5" t="str">
        <f t="shared" si="24"/>
        <v>M</v>
      </c>
      <c r="O566" s="5" t="str">
        <f t="shared" si="25"/>
        <v>Master</v>
      </c>
    </row>
    <row r="567" spans="1:15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 t="str">
        <f t="shared" si="26"/>
        <v>California</v>
      </c>
      <c r="N567" s="5" t="str">
        <f t="shared" si="24"/>
        <v>F</v>
      </c>
      <c r="O567" s="5" t="str">
        <f t="shared" si="25"/>
        <v>College</v>
      </c>
    </row>
    <row r="568" spans="1:15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 t="str">
        <f t="shared" si="26"/>
        <v>California</v>
      </c>
      <c r="N568" s="5" t="str">
        <f t="shared" si="24"/>
        <v>M</v>
      </c>
      <c r="O568" s="5" t="str">
        <f t="shared" si="25"/>
        <v>College</v>
      </c>
    </row>
    <row r="569" spans="1:15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 t="str">
        <f t="shared" si="26"/>
        <v>California</v>
      </c>
      <c r="N569" s="5" t="str">
        <f t="shared" si="24"/>
        <v>F</v>
      </c>
      <c r="O569" s="5" t="str">
        <f t="shared" si="25"/>
        <v>High School or Below</v>
      </c>
    </row>
    <row r="570" spans="1:15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 t="str">
        <f t="shared" si="26"/>
        <v>Oregon</v>
      </c>
      <c r="N570" s="5" t="str">
        <f t="shared" si="24"/>
        <v>F</v>
      </c>
      <c r="O570" s="5" t="str">
        <f t="shared" si="25"/>
        <v>Bachelor</v>
      </c>
    </row>
    <row r="571" spans="1:15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 t="str">
        <f t="shared" si="26"/>
        <v>Oregon</v>
      </c>
      <c r="N571" s="5" t="str">
        <f t="shared" si="24"/>
        <v>M</v>
      </c>
      <c r="O571" s="5" t="str">
        <f t="shared" si="25"/>
        <v>Bachelor</v>
      </c>
    </row>
    <row r="572" spans="1:15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 t="str">
        <f t="shared" si="26"/>
        <v>California</v>
      </c>
      <c r="N572" s="5" t="str">
        <f t="shared" si="24"/>
        <v>M</v>
      </c>
      <c r="O572" s="5" t="str">
        <f t="shared" si="25"/>
        <v>College</v>
      </c>
    </row>
    <row r="573" spans="1:15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 t="str">
        <f t="shared" si="26"/>
        <v>Oregon</v>
      </c>
      <c r="N573" s="5" t="str">
        <f t="shared" si="24"/>
        <v>F</v>
      </c>
      <c r="O573" s="5" t="str">
        <f t="shared" si="25"/>
        <v>College</v>
      </c>
    </row>
    <row r="574" spans="1:15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 t="str">
        <f t="shared" si="26"/>
        <v>Oregon</v>
      </c>
      <c r="N574" s="5" t="str">
        <f t="shared" si="24"/>
        <v>F</v>
      </c>
      <c r="O574" s="5" t="str">
        <f t="shared" si="25"/>
        <v>Bachelor</v>
      </c>
    </row>
    <row r="575" spans="1:15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 t="str">
        <f t="shared" si="26"/>
        <v>California</v>
      </c>
      <c r="N575" s="5" t="str">
        <f t="shared" si="24"/>
        <v>M</v>
      </c>
      <c r="O575" s="5" t="str">
        <f t="shared" si="25"/>
        <v>Bachelor</v>
      </c>
    </row>
    <row r="576" spans="1:15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 t="str">
        <f t="shared" si="26"/>
        <v>Arizona</v>
      </c>
      <c r="N576" s="5" t="str">
        <f t="shared" si="24"/>
        <v>F</v>
      </c>
      <c r="O576" s="5" t="str">
        <f t="shared" si="25"/>
        <v>Bachelor</v>
      </c>
    </row>
    <row r="577" spans="1:15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 t="str">
        <f t="shared" si="26"/>
        <v>Oregon</v>
      </c>
      <c r="N577" s="5" t="str">
        <f t="shared" si="24"/>
        <v>F</v>
      </c>
      <c r="O577" s="5" t="str">
        <f t="shared" si="25"/>
        <v>High School or Below</v>
      </c>
    </row>
    <row r="578" spans="1:15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 t="str">
        <f t="shared" si="26"/>
        <v>Oregon</v>
      </c>
      <c r="N578" s="5" t="str">
        <f t="shared" ref="N578:N641" si="27">IF(OR(C578="F",C578="Femal",C578="female"),"F",IF(OR(C578="M",C578="Male"),"M","NA"))</f>
        <v>F</v>
      </c>
      <c r="O578" s="5" t="str">
        <f t="shared" ref="O578:O641" si="28">IF(OR(D578="Bachelor",D578="Bachelors"),"Bachelor",D578)</f>
        <v>High School or Below</v>
      </c>
    </row>
    <row r="579" spans="1:15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 t="str">
        <f t="shared" ref="M579:M642" si="29">IF(OR(B579="Arizona",B579="AZ"),"Arizona",IF(OR(B579="California",B579="Cali"),"California",IF(B579="Nevada","Nevada",IF(B579="Oregon","Oregon",IF(OR(B579="Washington",B579="WA"),"Washington",B579)))))</f>
        <v>Oregon</v>
      </c>
      <c r="N579" s="5" t="str">
        <f t="shared" si="27"/>
        <v>M</v>
      </c>
      <c r="O579" s="5" t="str">
        <f t="shared" si="28"/>
        <v>Bachelor</v>
      </c>
    </row>
    <row r="580" spans="1:15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 t="str">
        <f t="shared" si="29"/>
        <v>Oregon</v>
      </c>
      <c r="N580" s="5" t="str">
        <f t="shared" si="27"/>
        <v>F</v>
      </c>
      <c r="O580" s="5" t="str">
        <f t="shared" si="28"/>
        <v>Bachelor</v>
      </c>
    </row>
    <row r="581" spans="1:15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 t="str">
        <f t="shared" si="29"/>
        <v>Washington</v>
      </c>
      <c r="N581" s="5" t="str">
        <f t="shared" si="27"/>
        <v>M</v>
      </c>
      <c r="O581" s="5" t="str">
        <f t="shared" si="28"/>
        <v>High School or Below</v>
      </c>
    </row>
    <row r="582" spans="1:15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 t="str">
        <f t="shared" si="29"/>
        <v>Oregon</v>
      </c>
      <c r="N582" s="5" t="str">
        <f t="shared" si="27"/>
        <v>F</v>
      </c>
      <c r="O582" s="5" t="str">
        <f t="shared" si="28"/>
        <v>Master</v>
      </c>
    </row>
    <row r="583" spans="1:15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 t="str">
        <f t="shared" si="29"/>
        <v>Arizona</v>
      </c>
      <c r="N583" s="5" t="str">
        <f t="shared" si="27"/>
        <v>F</v>
      </c>
      <c r="O583" s="5" t="str">
        <f t="shared" si="28"/>
        <v>High School or Below</v>
      </c>
    </row>
    <row r="584" spans="1:15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 t="str">
        <f t="shared" si="29"/>
        <v>Washington</v>
      </c>
      <c r="N584" s="5" t="str">
        <f t="shared" si="27"/>
        <v>M</v>
      </c>
      <c r="O584" s="5" t="str">
        <f t="shared" si="28"/>
        <v>Master</v>
      </c>
    </row>
    <row r="585" spans="1:15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 t="str">
        <f t="shared" si="29"/>
        <v>California</v>
      </c>
      <c r="N585" s="5" t="str">
        <f t="shared" si="27"/>
        <v>F</v>
      </c>
      <c r="O585" s="5" t="str">
        <f t="shared" si="28"/>
        <v>High School or Below</v>
      </c>
    </row>
    <row r="586" spans="1:15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 t="str">
        <f t="shared" si="29"/>
        <v>Nevada</v>
      </c>
      <c r="N586" s="5" t="str">
        <f t="shared" si="27"/>
        <v>M</v>
      </c>
      <c r="O586" s="5" t="str">
        <f t="shared" si="28"/>
        <v>High School or Below</v>
      </c>
    </row>
    <row r="587" spans="1:15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 t="str">
        <f t="shared" si="29"/>
        <v>California</v>
      </c>
      <c r="N587" s="5" t="str">
        <f t="shared" si="27"/>
        <v>M</v>
      </c>
      <c r="O587" s="5" t="str">
        <f t="shared" si="28"/>
        <v>Bachelor</v>
      </c>
    </row>
    <row r="588" spans="1:15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 t="str">
        <f t="shared" si="29"/>
        <v>Oregon</v>
      </c>
      <c r="N588" s="5" t="str">
        <f t="shared" si="27"/>
        <v>M</v>
      </c>
      <c r="O588" s="5" t="str">
        <f t="shared" si="28"/>
        <v>Bachelor</v>
      </c>
    </row>
    <row r="589" spans="1:15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 t="str">
        <f t="shared" si="29"/>
        <v>California</v>
      </c>
      <c r="N589" s="5" t="str">
        <f t="shared" si="27"/>
        <v>M</v>
      </c>
      <c r="O589" s="5" t="str">
        <f t="shared" si="28"/>
        <v>Bachelor</v>
      </c>
    </row>
    <row r="590" spans="1:15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 t="str">
        <f t="shared" si="29"/>
        <v>California</v>
      </c>
      <c r="N590" s="5" t="str">
        <f t="shared" si="27"/>
        <v>M</v>
      </c>
      <c r="O590" s="5" t="str">
        <f t="shared" si="28"/>
        <v>Bachelor</v>
      </c>
    </row>
    <row r="591" spans="1:15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 t="str">
        <f t="shared" si="29"/>
        <v>Nevada</v>
      </c>
      <c r="N591" s="5" t="str">
        <f t="shared" si="27"/>
        <v>M</v>
      </c>
      <c r="O591" s="5" t="str">
        <f t="shared" si="28"/>
        <v>High School or Below</v>
      </c>
    </row>
    <row r="592" spans="1:15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 t="str">
        <f t="shared" si="29"/>
        <v>Arizona</v>
      </c>
      <c r="N592" s="5" t="str">
        <f t="shared" si="27"/>
        <v>F</v>
      </c>
      <c r="O592" s="5" t="str">
        <f t="shared" si="28"/>
        <v>Doctor</v>
      </c>
    </row>
    <row r="593" spans="1:15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 t="str">
        <f t="shared" si="29"/>
        <v>California</v>
      </c>
      <c r="N593" s="5" t="str">
        <f t="shared" si="27"/>
        <v>F</v>
      </c>
      <c r="O593" s="5" t="str">
        <f t="shared" si="28"/>
        <v>High School or Below</v>
      </c>
    </row>
    <row r="594" spans="1:15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 t="str">
        <f t="shared" si="29"/>
        <v>California</v>
      </c>
      <c r="N594" s="5" t="str">
        <f t="shared" si="27"/>
        <v>F</v>
      </c>
      <c r="O594" s="5" t="str">
        <f t="shared" si="28"/>
        <v>Master</v>
      </c>
    </row>
    <row r="595" spans="1:15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 t="str">
        <f t="shared" si="29"/>
        <v>Oregon</v>
      </c>
      <c r="N595" s="5" t="str">
        <f t="shared" si="27"/>
        <v>F</v>
      </c>
      <c r="O595" s="5" t="str">
        <f t="shared" si="28"/>
        <v>High School or Below</v>
      </c>
    </row>
    <row r="596" spans="1:15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 t="str">
        <f t="shared" si="29"/>
        <v>Washington</v>
      </c>
      <c r="N596" s="5" t="str">
        <f t="shared" si="27"/>
        <v>M</v>
      </c>
      <c r="O596" s="5" t="str">
        <f t="shared" si="28"/>
        <v>Doctor</v>
      </c>
    </row>
    <row r="597" spans="1:15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 t="str">
        <f t="shared" si="29"/>
        <v>Nevada</v>
      </c>
      <c r="N597" s="5" t="str">
        <f t="shared" si="27"/>
        <v>M</v>
      </c>
      <c r="O597" s="5" t="str">
        <f t="shared" si="28"/>
        <v>Doctor</v>
      </c>
    </row>
    <row r="598" spans="1:15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 t="str">
        <f t="shared" si="29"/>
        <v>Oregon</v>
      </c>
      <c r="N598" s="5" t="str">
        <f t="shared" si="27"/>
        <v>F</v>
      </c>
      <c r="O598" s="5" t="str">
        <f t="shared" si="28"/>
        <v>College</v>
      </c>
    </row>
    <row r="599" spans="1:15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 t="str">
        <f t="shared" si="29"/>
        <v>Arizona</v>
      </c>
      <c r="N599" s="5" t="str">
        <f t="shared" si="27"/>
        <v>F</v>
      </c>
      <c r="O599" s="5" t="str">
        <f t="shared" si="28"/>
        <v>College</v>
      </c>
    </row>
    <row r="600" spans="1:15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 t="str">
        <f t="shared" si="29"/>
        <v>Oregon</v>
      </c>
      <c r="N600" s="5" t="str">
        <f t="shared" si="27"/>
        <v>M</v>
      </c>
      <c r="O600" s="5" t="str">
        <f t="shared" si="28"/>
        <v>College</v>
      </c>
    </row>
    <row r="601" spans="1:15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 t="str">
        <f t="shared" si="29"/>
        <v>Arizona</v>
      </c>
      <c r="N601" s="5" t="str">
        <f t="shared" si="27"/>
        <v>F</v>
      </c>
      <c r="O601" s="5" t="str">
        <f t="shared" si="28"/>
        <v>Master</v>
      </c>
    </row>
    <row r="602" spans="1:15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 t="str">
        <f t="shared" si="29"/>
        <v>Oregon</v>
      </c>
      <c r="N602" s="5" t="str">
        <f t="shared" si="27"/>
        <v>M</v>
      </c>
      <c r="O602" s="5" t="str">
        <f t="shared" si="28"/>
        <v>Bachelor</v>
      </c>
    </row>
    <row r="603" spans="1:15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 t="str">
        <f t="shared" si="29"/>
        <v>Oregon</v>
      </c>
      <c r="N603" s="5" t="str">
        <f t="shared" si="27"/>
        <v>F</v>
      </c>
      <c r="O603" s="5" t="str">
        <f t="shared" si="28"/>
        <v>College</v>
      </c>
    </row>
    <row r="604" spans="1:15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 t="str">
        <f t="shared" si="29"/>
        <v>California</v>
      </c>
      <c r="N604" s="5" t="str">
        <f t="shared" si="27"/>
        <v>M</v>
      </c>
      <c r="O604" s="5" t="str">
        <f t="shared" si="28"/>
        <v>Bachelor</v>
      </c>
    </row>
    <row r="605" spans="1:15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 t="str">
        <f t="shared" si="29"/>
        <v>Oregon</v>
      </c>
      <c r="N605" s="5" t="str">
        <f t="shared" si="27"/>
        <v>F</v>
      </c>
      <c r="O605" s="5" t="str">
        <f t="shared" si="28"/>
        <v>High School or Below</v>
      </c>
    </row>
    <row r="606" spans="1:15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 t="str">
        <f t="shared" si="29"/>
        <v>Oregon</v>
      </c>
      <c r="N606" s="5" t="str">
        <f t="shared" si="27"/>
        <v>F</v>
      </c>
      <c r="O606" s="5" t="str">
        <f t="shared" si="28"/>
        <v>Doctor</v>
      </c>
    </row>
    <row r="607" spans="1:15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 t="str">
        <f t="shared" si="29"/>
        <v>California</v>
      </c>
      <c r="N607" s="5" t="str">
        <f t="shared" si="27"/>
        <v>M</v>
      </c>
      <c r="O607" s="5" t="str">
        <f t="shared" si="28"/>
        <v>College</v>
      </c>
    </row>
    <row r="608" spans="1:15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 t="str">
        <f t="shared" si="29"/>
        <v>Nevada</v>
      </c>
      <c r="N608" s="5" t="str">
        <f t="shared" si="27"/>
        <v>M</v>
      </c>
      <c r="O608" s="5" t="str">
        <f t="shared" si="28"/>
        <v>High School or Below</v>
      </c>
    </row>
    <row r="609" spans="1:15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 t="str">
        <f t="shared" si="29"/>
        <v>California</v>
      </c>
      <c r="N609" s="5" t="str">
        <f t="shared" si="27"/>
        <v>M</v>
      </c>
      <c r="O609" s="5" t="str">
        <f t="shared" si="28"/>
        <v>College</v>
      </c>
    </row>
    <row r="610" spans="1:15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 t="str">
        <f t="shared" si="29"/>
        <v>Washington</v>
      </c>
      <c r="N610" s="5" t="str">
        <f t="shared" si="27"/>
        <v>M</v>
      </c>
      <c r="O610" s="5" t="str">
        <f t="shared" si="28"/>
        <v>Bachelor</v>
      </c>
    </row>
    <row r="611" spans="1:15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 t="str">
        <f t="shared" si="29"/>
        <v>California</v>
      </c>
      <c r="N611" s="5" t="str">
        <f t="shared" si="27"/>
        <v>F</v>
      </c>
      <c r="O611" s="5" t="str">
        <f t="shared" si="28"/>
        <v>Bachelor</v>
      </c>
    </row>
    <row r="612" spans="1:15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 t="str">
        <f t="shared" si="29"/>
        <v>Oregon</v>
      </c>
      <c r="N612" s="5" t="str">
        <f t="shared" si="27"/>
        <v>M</v>
      </c>
      <c r="O612" s="5" t="str">
        <f t="shared" si="28"/>
        <v>Master</v>
      </c>
    </row>
    <row r="613" spans="1:15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 t="str">
        <f t="shared" si="29"/>
        <v>Oregon</v>
      </c>
      <c r="N613" s="5" t="str">
        <f t="shared" si="27"/>
        <v>F</v>
      </c>
      <c r="O613" s="5" t="str">
        <f t="shared" si="28"/>
        <v>Master</v>
      </c>
    </row>
    <row r="614" spans="1:15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 t="str">
        <f t="shared" si="29"/>
        <v>Arizona</v>
      </c>
      <c r="N614" s="5" t="str">
        <f t="shared" si="27"/>
        <v>M</v>
      </c>
      <c r="O614" s="5" t="str">
        <f t="shared" si="28"/>
        <v>Bachelor</v>
      </c>
    </row>
    <row r="615" spans="1:15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 t="str">
        <f t="shared" si="29"/>
        <v>Arizona</v>
      </c>
      <c r="N615" s="5" t="str">
        <f t="shared" si="27"/>
        <v>F</v>
      </c>
      <c r="O615" s="5" t="str">
        <f t="shared" si="28"/>
        <v>High School or Below</v>
      </c>
    </row>
    <row r="616" spans="1:15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 t="str">
        <f t="shared" si="29"/>
        <v>California</v>
      </c>
      <c r="N616" s="5" t="str">
        <f t="shared" si="27"/>
        <v>M</v>
      </c>
      <c r="O616" s="5" t="str">
        <f t="shared" si="28"/>
        <v>High School or Below</v>
      </c>
    </row>
    <row r="617" spans="1:15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 t="str">
        <f t="shared" si="29"/>
        <v>Nevada</v>
      </c>
      <c r="N617" s="5" t="str">
        <f t="shared" si="27"/>
        <v>M</v>
      </c>
      <c r="O617" s="5" t="str">
        <f t="shared" si="28"/>
        <v>Master</v>
      </c>
    </row>
    <row r="618" spans="1:15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 t="str">
        <f t="shared" si="29"/>
        <v>Oregon</v>
      </c>
      <c r="N618" s="5" t="str">
        <f t="shared" si="27"/>
        <v>M</v>
      </c>
      <c r="O618" s="5" t="str">
        <f t="shared" si="28"/>
        <v>College</v>
      </c>
    </row>
    <row r="619" spans="1:15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 t="str">
        <f t="shared" si="29"/>
        <v>Nevada</v>
      </c>
      <c r="N619" s="5" t="str">
        <f t="shared" si="27"/>
        <v>F</v>
      </c>
      <c r="O619" s="5" t="str">
        <f t="shared" si="28"/>
        <v>Master</v>
      </c>
    </row>
    <row r="620" spans="1:15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 t="str">
        <f t="shared" si="29"/>
        <v>California</v>
      </c>
      <c r="N620" s="5" t="str">
        <f t="shared" si="27"/>
        <v>F</v>
      </c>
      <c r="O620" s="5" t="str">
        <f t="shared" si="28"/>
        <v>College</v>
      </c>
    </row>
    <row r="621" spans="1:15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 t="str">
        <f t="shared" si="29"/>
        <v>Nevada</v>
      </c>
      <c r="N621" s="5" t="str">
        <f t="shared" si="27"/>
        <v>F</v>
      </c>
      <c r="O621" s="5" t="str">
        <f t="shared" si="28"/>
        <v>High School or Below</v>
      </c>
    </row>
    <row r="622" spans="1:15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 t="str">
        <f t="shared" si="29"/>
        <v>Oregon</v>
      </c>
      <c r="N622" s="5" t="str">
        <f t="shared" si="27"/>
        <v>F</v>
      </c>
      <c r="O622" s="5" t="str">
        <f t="shared" si="28"/>
        <v>College</v>
      </c>
    </row>
    <row r="623" spans="1:15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 t="str">
        <f t="shared" si="29"/>
        <v>Washington</v>
      </c>
      <c r="N623" s="5" t="str">
        <f t="shared" si="27"/>
        <v>M</v>
      </c>
      <c r="O623" s="5" t="str">
        <f t="shared" si="28"/>
        <v>Bachelor</v>
      </c>
    </row>
    <row r="624" spans="1:15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 t="str">
        <f t="shared" si="29"/>
        <v>California</v>
      </c>
      <c r="N624" s="5" t="str">
        <f t="shared" si="27"/>
        <v>F</v>
      </c>
      <c r="O624" s="5" t="str">
        <f t="shared" si="28"/>
        <v>College</v>
      </c>
    </row>
    <row r="625" spans="1:15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 t="str">
        <f t="shared" si="29"/>
        <v>Oregon</v>
      </c>
      <c r="N625" s="5" t="str">
        <f t="shared" si="27"/>
        <v>F</v>
      </c>
      <c r="O625" s="5" t="str">
        <f t="shared" si="28"/>
        <v>Bachelor</v>
      </c>
    </row>
    <row r="626" spans="1:15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 t="str">
        <f t="shared" si="29"/>
        <v>Arizona</v>
      </c>
      <c r="N626" s="5" t="str">
        <f t="shared" si="27"/>
        <v>F</v>
      </c>
      <c r="O626" s="5" t="str">
        <f t="shared" si="28"/>
        <v>High School or Below</v>
      </c>
    </row>
    <row r="627" spans="1:15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 t="str">
        <f t="shared" si="29"/>
        <v>California</v>
      </c>
      <c r="N627" s="5" t="str">
        <f t="shared" si="27"/>
        <v>F</v>
      </c>
      <c r="O627" s="5" t="str">
        <f t="shared" si="28"/>
        <v>Bachelor</v>
      </c>
    </row>
    <row r="628" spans="1:15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 t="str">
        <f t="shared" si="29"/>
        <v>California</v>
      </c>
      <c r="N628" s="5" t="str">
        <f t="shared" si="27"/>
        <v>F</v>
      </c>
      <c r="O628" s="5" t="str">
        <f t="shared" si="28"/>
        <v>College</v>
      </c>
    </row>
    <row r="629" spans="1:15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 t="str">
        <f t="shared" si="29"/>
        <v>Nevada</v>
      </c>
      <c r="N629" s="5" t="str">
        <f t="shared" si="27"/>
        <v>M</v>
      </c>
      <c r="O629" s="5" t="str">
        <f t="shared" si="28"/>
        <v>High School or Below</v>
      </c>
    </row>
    <row r="630" spans="1:15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 t="str">
        <f t="shared" si="29"/>
        <v>Arizona</v>
      </c>
      <c r="N630" s="5" t="str">
        <f t="shared" si="27"/>
        <v>M</v>
      </c>
      <c r="O630" s="5" t="str">
        <f t="shared" si="28"/>
        <v>High School or Below</v>
      </c>
    </row>
    <row r="631" spans="1:15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 t="str">
        <f t="shared" si="29"/>
        <v>Oregon</v>
      </c>
      <c r="N631" s="5" t="str">
        <f t="shared" si="27"/>
        <v>F</v>
      </c>
      <c r="O631" s="5" t="str">
        <f t="shared" si="28"/>
        <v>College</v>
      </c>
    </row>
    <row r="632" spans="1:15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 t="str">
        <f t="shared" si="29"/>
        <v>California</v>
      </c>
      <c r="N632" s="5" t="str">
        <f t="shared" si="27"/>
        <v>M</v>
      </c>
      <c r="O632" s="5" t="str">
        <f t="shared" si="28"/>
        <v>Bachelor</v>
      </c>
    </row>
    <row r="633" spans="1:15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 t="str">
        <f t="shared" si="29"/>
        <v>California</v>
      </c>
      <c r="N633" s="5" t="str">
        <f t="shared" si="27"/>
        <v>M</v>
      </c>
      <c r="O633" s="5" t="str">
        <f t="shared" si="28"/>
        <v>College</v>
      </c>
    </row>
    <row r="634" spans="1:15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 t="str">
        <f t="shared" si="29"/>
        <v>Oregon</v>
      </c>
      <c r="N634" s="5" t="str">
        <f t="shared" si="27"/>
        <v>M</v>
      </c>
      <c r="O634" s="5" t="str">
        <f t="shared" si="28"/>
        <v>High School or Below</v>
      </c>
    </row>
    <row r="635" spans="1:15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 t="str">
        <f t="shared" si="29"/>
        <v>California</v>
      </c>
      <c r="N635" s="5" t="str">
        <f t="shared" si="27"/>
        <v>F</v>
      </c>
      <c r="O635" s="5" t="str">
        <f t="shared" si="28"/>
        <v>Bachelor</v>
      </c>
    </row>
    <row r="636" spans="1:15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 t="str">
        <f t="shared" si="29"/>
        <v>California</v>
      </c>
      <c r="N636" s="5" t="str">
        <f t="shared" si="27"/>
        <v>F</v>
      </c>
      <c r="O636" s="5" t="str">
        <f t="shared" si="28"/>
        <v>College</v>
      </c>
    </row>
    <row r="637" spans="1:15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 t="str">
        <f t="shared" si="29"/>
        <v>Oregon</v>
      </c>
      <c r="N637" s="5" t="str">
        <f t="shared" si="27"/>
        <v>M</v>
      </c>
      <c r="O637" s="5" t="str">
        <f t="shared" si="28"/>
        <v>College</v>
      </c>
    </row>
    <row r="638" spans="1:15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 t="str">
        <f t="shared" si="29"/>
        <v>Washington</v>
      </c>
      <c r="N638" s="5" t="str">
        <f t="shared" si="27"/>
        <v>M</v>
      </c>
      <c r="O638" s="5" t="str">
        <f t="shared" si="28"/>
        <v>Master</v>
      </c>
    </row>
    <row r="639" spans="1:15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 t="str">
        <f t="shared" si="29"/>
        <v>Oregon</v>
      </c>
      <c r="N639" s="5" t="str">
        <f t="shared" si="27"/>
        <v>F</v>
      </c>
      <c r="O639" s="5" t="str">
        <f t="shared" si="28"/>
        <v>High School or Below</v>
      </c>
    </row>
    <row r="640" spans="1:15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 t="str">
        <f t="shared" si="29"/>
        <v>California</v>
      </c>
      <c r="N640" s="5" t="str">
        <f t="shared" si="27"/>
        <v>M</v>
      </c>
      <c r="O640" s="5" t="str">
        <f t="shared" si="28"/>
        <v>College</v>
      </c>
    </row>
    <row r="641" spans="1:15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 t="str">
        <f t="shared" si="29"/>
        <v>California</v>
      </c>
      <c r="N641" s="5" t="str">
        <f t="shared" si="27"/>
        <v>F</v>
      </c>
      <c r="O641" s="5" t="str">
        <f t="shared" si="28"/>
        <v>College</v>
      </c>
    </row>
    <row r="642" spans="1:15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 t="str">
        <f t="shared" si="29"/>
        <v>Washington</v>
      </c>
      <c r="N642" s="5" t="str">
        <f t="shared" ref="N642:N705" si="30">IF(OR(C642="F",C642="Femal",C642="female"),"F",IF(OR(C642="M",C642="Male"),"M","NA"))</f>
        <v>F</v>
      </c>
      <c r="O642" s="5" t="str">
        <f t="shared" ref="O642:O705" si="31">IF(OR(D642="Bachelor",D642="Bachelors"),"Bachelor",D642)</f>
        <v>College</v>
      </c>
    </row>
    <row r="643" spans="1:15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 t="str">
        <f t="shared" ref="M643:M706" si="32">IF(OR(B643="Arizona",B643="AZ"),"Arizona",IF(OR(B643="California",B643="Cali"),"California",IF(B643="Nevada","Nevada",IF(B643="Oregon","Oregon",IF(OR(B643="Washington",B643="WA"),"Washington",B643)))))</f>
        <v>Arizona</v>
      </c>
      <c r="N643" s="5" t="str">
        <f t="shared" si="30"/>
        <v>M</v>
      </c>
      <c r="O643" s="5" t="str">
        <f t="shared" si="31"/>
        <v>Master</v>
      </c>
    </row>
    <row r="644" spans="1:15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 t="str">
        <f t="shared" si="32"/>
        <v>Arizona</v>
      </c>
      <c r="N644" s="5" t="str">
        <f t="shared" si="30"/>
        <v>M</v>
      </c>
      <c r="O644" s="5" t="str">
        <f t="shared" si="31"/>
        <v>High School or Below</v>
      </c>
    </row>
    <row r="645" spans="1:15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 t="str">
        <f t="shared" si="32"/>
        <v>California</v>
      </c>
      <c r="N645" s="5" t="str">
        <f t="shared" si="30"/>
        <v>F</v>
      </c>
      <c r="O645" s="5" t="str">
        <f t="shared" si="31"/>
        <v>Doctor</v>
      </c>
    </row>
    <row r="646" spans="1:15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 t="str">
        <f t="shared" si="32"/>
        <v>Washington</v>
      </c>
      <c r="N646" s="5" t="str">
        <f t="shared" si="30"/>
        <v>M</v>
      </c>
      <c r="O646" s="5" t="str">
        <f t="shared" si="31"/>
        <v>Bachelor</v>
      </c>
    </row>
    <row r="647" spans="1:15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 t="str">
        <f t="shared" si="32"/>
        <v>Nevada</v>
      </c>
      <c r="N647" s="5" t="str">
        <f t="shared" si="30"/>
        <v>M</v>
      </c>
      <c r="O647" s="5" t="str">
        <f t="shared" si="31"/>
        <v>Bachelor</v>
      </c>
    </row>
    <row r="648" spans="1:15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 t="str">
        <f t="shared" si="32"/>
        <v>Oregon</v>
      </c>
      <c r="N648" s="5" t="str">
        <f t="shared" si="30"/>
        <v>M</v>
      </c>
      <c r="O648" s="5" t="str">
        <f t="shared" si="31"/>
        <v>Bachelor</v>
      </c>
    </row>
    <row r="649" spans="1:15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 t="str">
        <f t="shared" si="32"/>
        <v>Oregon</v>
      </c>
      <c r="N649" s="5" t="str">
        <f t="shared" si="30"/>
        <v>F</v>
      </c>
      <c r="O649" s="5" t="str">
        <f t="shared" si="31"/>
        <v>College</v>
      </c>
    </row>
    <row r="650" spans="1:15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 t="str">
        <f t="shared" si="32"/>
        <v>Oregon</v>
      </c>
      <c r="N650" s="5" t="str">
        <f t="shared" si="30"/>
        <v>M</v>
      </c>
      <c r="O650" s="5" t="str">
        <f t="shared" si="31"/>
        <v>Bachelor</v>
      </c>
    </row>
    <row r="651" spans="1:15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 t="str">
        <f t="shared" si="32"/>
        <v>Oregon</v>
      </c>
      <c r="N651" s="5" t="str">
        <f t="shared" si="30"/>
        <v>M</v>
      </c>
      <c r="O651" s="5" t="str">
        <f t="shared" si="31"/>
        <v>College</v>
      </c>
    </row>
    <row r="652" spans="1:15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 t="str">
        <f t="shared" si="32"/>
        <v>Oregon</v>
      </c>
      <c r="N652" s="5" t="str">
        <f t="shared" si="30"/>
        <v>M</v>
      </c>
      <c r="O652" s="5" t="str">
        <f t="shared" si="31"/>
        <v>Bachelor</v>
      </c>
    </row>
    <row r="653" spans="1:15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 t="str">
        <f t="shared" si="32"/>
        <v>Arizona</v>
      </c>
      <c r="N653" s="5" t="str">
        <f t="shared" si="30"/>
        <v>F</v>
      </c>
      <c r="O653" s="5" t="str">
        <f t="shared" si="31"/>
        <v>Bachelor</v>
      </c>
    </row>
    <row r="654" spans="1:15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 t="str">
        <f t="shared" si="32"/>
        <v>Oregon</v>
      </c>
      <c r="N654" s="5" t="str">
        <f t="shared" si="30"/>
        <v>F</v>
      </c>
      <c r="O654" s="5" t="str">
        <f t="shared" si="31"/>
        <v>Bachelor</v>
      </c>
    </row>
    <row r="655" spans="1:15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 t="str">
        <f t="shared" si="32"/>
        <v>Oregon</v>
      </c>
      <c r="N655" s="5" t="str">
        <f t="shared" si="30"/>
        <v>F</v>
      </c>
      <c r="O655" s="5" t="str">
        <f t="shared" si="31"/>
        <v>Bachelor</v>
      </c>
    </row>
    <row r="656" spans="1:15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 t="str">
        <f t="shared" si="32"/>
        <v>Washington</v>
      </c>
      <c r="N656" s="5" t="str">
        <f t="shared" si="30"/>
        <v>F</v>
      </c>
      <c r="O656" s="5" t="str">
        <f t="shared" si="31"/>
        <v>College</v>
      </c>
    </row>
    <row r="657" spans="1:15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 t="str">
        <f t="shared" si="32"/>
        <v>Arizona</v>
      </c>
      <c r="N657" s="5" t="str">
        <f t="shared" si="30"/>
        <v>M</v>
      </c>
      <c r="O657" s="5" t="str">
        <f t="shared" si="31"/>
        <v>High School or Below</v>
      </c>
    </row>
    <row r="658" spans="1:15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 t="str">
        <f t="shared" si="32"/>
        <v>Washington</v>
      </c>
      <c r="N658" s="5" t="str">
        <f t="shared" si="30"/>
        <v>F</v>
      </c>
      <c r="O658" s="5" t="str">
        <f t="shared" si="31"/>
        <v>Master</v>
      </c>
    </row>
    <row r="659" spans="1:15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 t="str">
        <f t="shared" si="32"/>
        <v>Washington</v>
      </c>
      <c r="N659" s="5" t="str">
        <f t="shared" si="30"/>
        <v>F</v>
      </c>
      <c r="O659" s="5" t="str">
        <f t="shared" si="31"/>
        <v>High School or Below</v>
      </c>
    </row>
    <row r="660" spans="1:15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 t="str">
        <f t="shared" si="32"/>
        <v>Oregon</v>
      </c>
      <c r="N660" s="5" t="str">
        <f t="shared" si="30"/>
        <v>F</v>
      </c>
      <c r="O660" s="5" t="str">
        <f t="shared" si="31"/>
        <v>Bachelor</v>
      </c>
    </row>
    <row r="661" spans="1:15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 t="str">
        <f t="shared" si="32"/>
        <v>Oregon</v>
      </c>
      <c r="N661" s="5" t="str">
        <f t="shared" si="30"/>
        <v>M</v>
      </c>
      <c r="O661" s="5" t="str">
        <f t="shared" si="31"/>
        <v>Bachelor</v>
      </c>
    </row>
    <row r="662" spans="1:15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 t="str">
        <f t="shared" si="32"/>
        <v>California</v>
      </c>
      <c r="N662" s="5" t="str">
        <f t="shared" si="30"/>
        <v>M</v>
      </c>
      <c r="O662" s="5" t="str">
        <f t="shared" si="31"/>
        <v>Master</v>
      </c>
    </row>
    <row r="663" spans="1:15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 t="str">
        <f t="shared" si="32"/>
        <v>Washington</v>
      </c>
      <c r="N663" s="5" t="str">
        <f t="shared" si="30"/>
        <v>F</v>
      </c>
      <c r="O663" s="5" t="str">
        <f t="shared" si="31"/>
        <v>High School or Below</v>
      </c>
    </row>
    <row r="664" spans="1:15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 t="str">
        <f t="shared" si="32"/>
        <v>California</v>
      </c>
      <c r="N664" s="5" t="str">
        <f t="shared" si="30"/>
        <v>F</v>
      </c>
      <c r="O664" s="5" t="str">
        <f t="shared" si="31"/>
        <v>High School or Below</v>
      </c>
    </row>
    <row r="665" spans="1:15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 t="str">
        <f t="shared" si="32"/>
        <v>California</v>
      </c>
      <c r="N665" s="5" t="str">
        <f t="shared" si="30"/>
        <v>F</v>
      </c>
      <c r="O665" s="5" t="str">
        <f t="shared" si="31"/>
        <v>High School or Below</v>
      </c>
    </row>
    <row r="666" spans="1:15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 t="str">
        <f t="shared" si="32"/>
        <v>Arizona</v>
      </c>
      <c r="N666" s="5" t="str">
        <f t="shared" si="30"/>
        <v>F</v>
      </c>
      <c r="O666" s="5" t="str">
        <f t="shared" si="31"/>
        <v>High School or Below</v>
      </c>
    </row>
    <row r="667" spans="1:15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 t="str">
        <f t="shared" si="32"/>
        <v>California</v>
      </c>
      <c r="N667" s="5" t="str">
        <f t="shared" si="30"/>
        <v>F</v>
      </c>
      <c r="O667" s="5" t="str">
        <f t="shared" si="31"/>
        <v>College</v>
      </c>
    </row>
    <row r="668" spans="1:15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 t="str">
        <f t="shared" si="32"/>
        <v>Oregon</v>
      </c>
      <c r="N668" s="5" t="str">
        <f t="shared" si="30"/>
        <v>F</v>
      </c>
      <c r="O668" s="5" t="str">
        <f t="shared" si="31"/>
        <v>College</v>
      </c>
    </row>
    <row r="669" spans="1:15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 t="str">
        <f t="shared" si="32"/>
        <v>Oregon</v>
      </c>
      <c r="N669" s="5" t="str">
        <f t="shared" si="30"/>
        <v>M</v>
      </c>
      <c r="O669" s="5" t="str">
        <f t="shared" si="31"/>
        <v>Bachelor</v>
      </c>
    </row>
    <row r="670" spans="1:15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 t="str">
        <f t="shared" si="32"/>
        <v>Arizona</v>
      </c>
      <c r="N670" s="5" t="str">
        <f t="shared" si="30"/>
        <v>F</v>
      </c>
      <c r="O670" s="5" t="str">
        <f t="shared" si="31"/>
        <v>High School or Below</v>
      </c>
    </row>
    <row r="671" spans="1:15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 t="str">
        <f t="shared" si="32"/>
        <v>California</v>
      </c>
      <c r="N671" s="5" t="str">
        <f t="shared" si="30"/>
        <v>F</v>
      </c>
      <c r="O671" s="5" t="str">
        <f t="shared" si="31"/>
        <v>High School or Below</v>
      </c>
    </row>
    <row r="672" spans="1:15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 t="str">
        <f t="shared" si="32"/>
        <v>California</v>
      </c>
      <c r="N672" s="5" t="str">
        <f t="shared" si="30"/>
        <v>F</v>
      </c>
      <c r="O672" s="5" t="str">
        <f t="shared" si="31"/>
        <v>Bachelor</v>
      </c>
    </row>
    <row r="673" spans="1:15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 t="str">
        <f t="shared" si="32"/>
        <v>Oregon</v>
      </c>
      <c r="N673" s="5" t="str">
        <f t="shared" si="30"/>
        <v>F</v>
      </c>
      <c r="O673" s="5" t="str">
        <f t="shared" si="31"/>
        <v>College</v>
      </c>
    </row>
    <row r="674" spans="1:15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 t="str">
        <f t="shared" si="32"/>
        <v>California</v>
      </c>
      <c r="N674" s="5" t="str">
        <f t="shared" si="30"/>
        <v>F</v>
      </c>
      <c r="O674" s="5" t="str">
        <f t="shared" si="31"/>
        <v>High School or Below</v>
      </c>
    </row>
    <row r="675" spans="1:15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 t="str">
        <f t="shared" si="32"/>
        <v>Arizona</v>
      </c>
      <c r="N675" s="5" t="str">
        <f t="shared" si="30"/>
        <v>M</v>
      </c>
      <c r="O675" s="5" t="str">
        <f t="shared" si="31"/>
        <v>High School or Below</v>
      </c>
    </row>
    <row r="676" spans="1:15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 t="str">
        <f t="shared" si="32"/>
        <v>Oregon</v>
      </c>
      <c r="N676" s="5" t="str">
        <f t="shared" si="30"/>
        <v>M</v>
      </c>
      <c r="O676" s="5" t="str">
        <f t="shared" si="31"/>
        <v>College</v>
      </c>
    </row>
    <row r="677" spans="1:15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 t="str">
        <f t="shared" si="32"/>
        <v>Arizona</v>
      </c>
      <c r="N677" s="5" t="str">
        <f t="shared" si="30"/>
        <v>F</v>
      </c>
      <c r="O677" s="5" t="str">
        <f t="shared" si="31"/>
        <v>College</v>
      </c>
    </row>
    <row r="678" spans="1:15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 t="str">
        <f t="shared" si="32"/>
        <v>Oregon</v>
      </c>
      <c r="N678" s="5" t="str">
        <f t="shared" si="30"/>
        <v>F</v>
      </c>
      <c r="O678" s="5" t="str">
        <f t="shared" si="31"/>
        <v>Bachelor</v>
      </c>
    </row>
    <row r="679" spans="1:15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 t="str">
        <f t="shared" si="32"/>
        <v>Oregon</v>
      </c>
      <c r="N679" s="5" t="str">
        <f t="shared" si="30"/>
        <v>M</v>
      </c>
      <c r="O679" s="5" t="str">
        <f t="shared" si="31"/>
        <v>High School or Below</v>
      </c>
    </row>
    <row r="680" spans="1:15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 t="str">
        <f t="shared" si="32"/>
        <v>Oregon</v>
      </c>
      <c r="N680" s="5" t="str">
        <f t="shared" si="30"/>
        <v>M</v>
      </c>
      <c r="O680" s="5" t="str">
        <f t="shared" si="31"/>
        <v>Bachelor</v>
      </c>
    </row>
    <row r="681" spans="1:15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 t="str">
        <f t="shared" si="32"/>
        <v>Nevada</v>
      </c>
      <c r="N681" s="5" t="str">
        <f t="shared" si="30"/>
        <v>M</v>
      </c>
      <c r="O681" s="5" t="str">
        <f t="shared" si="31"/>
        <v>Bachelor</v>
      </c>
    </row>
    <row r="682" spans="1:15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 t="str">
        <f t="shared" si="32"/>
        <v>Arizona</v>
      </c>
      <c r="N682" s="5" t="str">
        <f t="shared" si="30"/>
        <v>M</v>
      </c>
      <c r="O682" s="5" t="str">
        <f t="shared" si="31"/>
        <v>College</v>
      </c>
    </row>
    <row r="683" spans="1:15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 t="str">
        <f t="shared" si="32"/>
        <v>Arizona</v>
      </c>
      <c r="N683" s="5" t="str">
        <f t="shared" si="30"/>
        <v>M</v>
      </c>
      <c r="O683" s="5" t="str">
        <f t="shared" si="31"/>
        <v>Master</v>
      </c>
    </row>
    <row r="684" spans="1:15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 t="str">
        <f t="shared" si="32"/>
        <v>Oregon</v>
      </c>
      <c r="N684" s="5" t="str">
        <f t="shared" si="30"/>
        <v>F</v>
      </c>
      <c r="O684" s="5" t="str">
        <f t="shared" si="31"/>
        <v>Master</v>
      </c>
    </row>
    <row r="685" spans="1:15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 t="str">
        <f t="shared" si="32"/>
        <v>California</v>
      </c>
      <c r="N685" s="5" t="str">
        <f t="shared" si="30"/>
        <v>F</v>
      </c>
      <c r="O685" s="5" t="str">
        <f t="shared" si="31"/>
        <v>High School or Below</v>
      </c>
    </row>
    <row r="686" spans="1:15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 t="str">
        <f t="shared" si="32"/>
        <v>Oregon</v>
      </c>
      <c r="N686" s="5" t="str">
        <f t="shared" si="30"/>
        <v>M</v>
      </c>
      <c r="O686" s="5" t="str">
        <f t="shared" si="31"/>
        <v>Bachelor</v>
      </c>
    </row>
    <row r="687" spans="1:15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 t="str">
        <f t="shared" si="32"/>
        <v>Oregon</v>
      </c>
      <c r="N687" s="5" t="str">
        <f t="shared" si="30"/>
        <v>F</v>
      </c>
      <c r="O687" s="5" t="str">
        <f t="shared" si="31"/>
        <v>High School or Below</v>
      </c>
    </row>
    <row r="688" spans="1:15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 t="str">
        <f t="shared" si="32"/>
        <v>California</v>
      </c>
      <c r="N688" s="5" t="str">
        <f t="shared" si="30"/>
        <v>F</v>
      </c>
      <c r="O688" s="5" t="str">
        <f t="shared" si="31"/>
        <v>Bachelor</v>
      </c>
    </row>
    <row r="689" spans="1:15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 t="str">
        <f t="shared" si="32"/>
        <v>Arizona</v>
      </c>
      <c r="N689" s="5" t="str">
        <f t="shared" si="30"/>
        <v>F</v>
      </c>
      <c r="O689" s="5" t="str">
        <f t="shared" si="31"/>
        <v>College</v>
      </c>
    </row>
    <row r="690" spans="1:15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 t="str">
        <f t="shared" si="32"/>
        <v>Oregon</v>
      </c>
      <c r="N690" s="5" t="str">
        <f t="shared" si="30"/>
        <v>M</v>
      </c>
      <c r="O690" s="5" t="str">
        <f t="shared" si="31"/>
        <v>Bachelor</v>
      </c>
    </row>
    <row r="691" spans="1:15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 t="str">
        <f t="shared" si="32"/>
        <v>Oregon</v>
      </c>
      <c r="N691" s="5" t="str">
        <f t="shared" si="30"/>
        <v>F</v>
      </c>
      <c r="O691" s="5" t="str">
        <f t="shared" si="31"/>
        <v>Bachelor</v>
      </c>
    </row>
    <row r="692" spans="1:15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 t="str">
        <f t="shared" si="32"/>
        <v>Arizona</v>
      </c>
      <c r="N692" s="5" t="str">
        <f t="shared" si="30"/>
        <v>F</v>
      </c>
      <c r="O692" s="5" t="str">
        <f t="shared" si="31"/>
        <v>Master</v>
      </c>
    </row>
    <row r="693" spans="1:15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 t="str">
        <f t="shared" si="32"/>
        <v>Arizona</v>
      </c>
      <c r="N693" s="5" t="str">
        <f t="shared" si="30"/>
        <v>M</v>
      </c>
      <c r="O693" s="5" t="str">
        <f t="shared" si="31"/>
        <v>College</v>
      </c>
    </row>
    <row r="694" spans="1:15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 t="str">
        <f t="shared" si="32"/>
        <v>Oregon</v>
      </c>
      <c r="N694" s="5" t="str">
        <f t="shared" si="30"/>
        <v>F</v>
      </c>
      <c r="O694" s="5" t="str">
        <f t="shared" si="31"/>
        <v>Bachelor</v>
      </c>
    </row>
    <row r="695" spans="1:15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 t="str">
        <f t="shared" si="32"/>
        <v>Washington</v>
      </c>
      <c r="N695" s="5" t="str">
        <f t="shared" si="30"/>
        <v>M</v>
      </c>
      <c r="O695" s="5" t="str">
        <f t="shared" si="31"/>
        <v>Master</v>
      </c>
    </row>
    <row r="696" spans="1:15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 t="str">
        <f t="shared" si="32"/>
        <v>California</v>
      </c>
      <c r="N696" s="5" t="str">
        <f t="shared" si="30"/>
        <v>F</v>
      </c>
      <c r="O696" s="5" t="str">
        <f t="shared" si="31"/>
        <v>Bachelor</v>
      </c>
    </row>
    <row r="697" spans="1:15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 t="str">
        <f t="shared" si="32"/>
        <v>Oregon</v>
      </c>
      <c r="N697" s="5" t="str">
        <f t="shared" si="30"/>
        <v>M</v>
      </c>
      <c r="O697" s="5" t="str">
        <f t="shared" si="31"/>
        <v>High School or Below</v>
      </c>
    </row>
    <row r="698" spans="1:15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 t="str">
        <f t="shared" si="32"/>
        <v>Arizona</v>
      </c>
      <c r="N698" s="5" t="str">
        <f t="shared" si="30"/>
        <v>M</v>
      </c>
      <c r="O698" s="5" t="str">
        <f t="shared" si="31"/>
        <v>Bachelor</v>
      </c>
    </row>
    <row r="699" spans="1:15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 t="str">
        <f t="shared" si="32"/>
        <v>Nevada</v>
      </c>
      <c r="N699" s="5" t="str">
        <f t="shared" si="30"/>
        <v>M</v>
      </c>
      <c r="O699" s="5" t="str">
        <f t="shared" si="31"/>
        <v>College</v>
      </c>
    </row>
    <row r="700" spans="1:15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 t="str">
        <f t="shared" si="32"/>
        <v>Arizona</v>
      </c>
      <c r="N700" s="5" t="str">
        <f t="shared" si="30"/>
        <v>F</v>
      </c>
      <c r="O700" s="5" t="str">
        <f t="shared" si="31"/>
        <v>Bachelor</v>
      </c>
    </row>
    <row r="701" spans="1:15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 t="str">
        <f t="shared" si="32"/>
        <v>Washington</v>
      </c>
      <c r="N701" s="5" t="str">
        <f t="shared" si="30"/>
        <v>F</v>
      </c>
      <c r="O701" s="5" t="str">
        <f t="shared" si="31"/>
        <v>College</v>
      </c>
    </row>
    <row r="702" spans="1:15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 t="str">
        <f t="shared" si="32"/>
        <v>Oregon</v>
      </c>
      <c r="N702" s="5" t="str">
        <f t="shared" si="30"/>
        <v>F</v>
      </c>
      <c r="O702" s="5" t="str">
        <f t="shared" si="31"/>
        <v>College</v>
      </c>
    </row>
    <row r="703" spans="1:15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 t="str">
        <f t="shared" si="32"/>
        <v>Arizona</v>
      </c>
      <c r="N703" s="5" t="str">
        <f t="shared" si="30"/>
        <v>F</v>
      </c>
      <c r="O703" s="5" t="str">
        <f t="shared" si="31"/>
        <v>High School or Below</v>
      </c>
    </row>
    <row r="704" spans="1:15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 t="str">
        <f t="shared" si="32"/>
        <v>California</v>
      </c>
      <c r="N704" s="5" t="str">
        <f t="shared" si="30"/>
        <v>F</v>
      </c>
      <c r="O704" s="5" t="str">
        <f t="shared" si="31"/>
        <v>College</v>
      </c>
    </row>
    <row r="705" spans="1:15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 t="str">
        <f t="shared" si="32"/>
        <v>California</v>
      </c>
      <c r="N705" s="5" t="str">
        <f t="shared" si="30"/>
        <v>M</v>
      </c>
      <c r="O705" s="5" t="str">
        <f t="shared" si="31"/>
        <v>College</v>
      </c>
    </row>
    <row r="706" spans="1:15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 t="str">
        <f t="shared" si="32"/>
        <v>Nevada</v>
      </c>
      <c r="N706" s="5" t="str">
        <f t="shared" ref="N706:N769" si="33">IF(OR(C706="F",C706="Femal",C706="female"),"F",IF(OR(C706="M",C706="Male"),"M","NA"))</f>
        <v>F</v>
      </c>
      <c r="O706" s="5" t="str">
        <f t="shared" ref="O706:O769" si="34">IF(OR(D706="Bachelor",D706="Bachelors"),"Bachelor",D706)</f>
        <v>Bachelor</v>
      </c>
    </row>
    <row r="707" spans="1:15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 t="str">
        <f t="shared" ref="M707:M770" si="35">IF(OR(B707="Arizona",B707="AZ"),"Arizona",IF(OR(B707="California",B707="Cali"),"California",IF(B707="Nevada","Nevada",IF(B707="Oregon","Oregon",IF(OR(B707="Washington",B707="WA"),"Washington",B707)))))</f>
        <v>California</v>
      </c>
      <c r="N707" s="5" t="str">
        <f t="shared" si="33"/>
        <v>F</v>
      </c>
      <c r="O707" s="5" t="str">
        <f t="shared" si="34"/>
        <v>High School or Below</v>
      </c>
    </row>
    <row r="708" spans="1:15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 t="str">
        <f t="shared" si="35"/>
        <v>California</v>
      </c>
      <c r="N708" s="5" t="str">
        <f t="shared" si="33"/>
        <v>M</v>
      </c>
      <c r="O708" s="5" t="str">
        <f t="shared" si="34"/>
        <v>High School or Below</v>
      </c>
    </row>
    <row r="709" spans="1:15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 t="str">
        <f t="shared" si="35"/>
        <v>Oregon</v>
      </c>
      <c r="N709" s="5" t="str">
        <f t="shared" si="33"/>
        <v>F</v>
      </c>
      <c r="O709" s="5" t="str">
        <f t="shared" si="34"/>
        <v>High School or Below</v>
      </c>
    </row>
    <row r="710" spans="1:15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 t="str">
        <f t="shared" si="35"/>
        <v>California</v>
      </c>
      <c r="N710" s="5" t="str">
        <f t="shared" si="33"/>
        <v>M</v>
      </c>
      <c r="O710" s="5" t="str">
        <f t="shared" si="34"/>
        <v>High School or Below</v>
      </c>
    </row>
    <row r="711" spans="1:15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 t="str">
        <f t="shared" si="35"/>
        <v>Oregon</v>
      </c>
      <c r="N711" s="5" t="str">
        <f t="shared" si="33"/>
        <v>M</v>
      </c>
      <c r="O711" s="5" t="str">
        <f t="shared" si="34"/>
        <v>Bachelor</v>
      </c>
    </row>
    <row r="712" spans="1:15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 t="str">
        <f t="shared" si="35"/>
        <v>California</v>
      </c>
      <c r="N712" s="5" t="str">
        <f t="shared" si="33"/>
        <v>F</v>
      </c>
      <c r="O712" s="5" t="str">
        <f t="shared" si="34"/>
        <v>College</v>
      </c>
    </row>
    <row r="713" spans="1:15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 t="str">
        <f t="shared" si="35"/>
        <v>Oregon</v>
      </c>
      <c r="N713" s="5" t="str">
        <f t="shared" si="33"/>
        <v>M</v>
      </c>
      <c r="O713" s="5" t="str">
        <f t="shared" si="34"/>
        <v>Bachelor</v>
      </c>
    </row>
    <row r="714" spans="1:15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 t="str">
        <f t="shared" si="35"/>
        <v>Arizona</v>
      </c>
      <c r="N714" s="5" t="str">
        <f t="shared" si="33"/>
        <v>M</v>
      </c>
      <c r="O714" s="5" t="str">
        <f t="shared" si="34"/>
        <v>Bachelor</v>
      </c>
    </row>
    <row r="715" spans="1:15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 t="str">
        <f t="shared" si="35"/>
        <v>California</v>
      </c>
      <c r="N715" s="5" t="str">
        <f t="shared" si="33"/>
        <v>M</v>
      </c>
      <c r="O715" s="5" t="str">
        <f t="shared" si="34"/>
        <v>Bachelor</v>
      </c>
    </row>
    <row r="716" spans="1:15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 t="str">
        <f t="shared" si="35"/>
        <v>Nevada</v>
      </c>
      <c r="N716" s="5" t="str">
        <f t="shared" si="33"/>
        <v>M</v>
      </c>
      <c r="O716" s="5" t="str">
        <f t="shared" si="34"/>
        <v>Bachelor</v>
      </c>
    </row>
    <row r="717" spans="1:15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 t="str">
        <f t="shared" si="35"/>
        <v>Arizona</v>
      </c>
      <c r="N717" s="5" t="str">
        <f t="shared" si="33"/>
        <v>F</v>
      </c>
      <c r="O717" s="5" t="str">
        <f t="shared" si="34"/>
        <v>Bachelor</v>
      </c>
    </row>
    <row r="718" spans="1:15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 t="str">
        <f t="shared" si="35"/>
        <v>Oregon</v>
      </c>
      <c r="N718" s="5" t="str">
        <f t="shared" si="33"/>
        <v>F</v>
      </c>
      <c r="O718" s="5" t="str">
        <f t="shared" si="34"/>
        <v>College</v>
      </c>
    </row>
    <row r="719" spans="1:15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 t="str">
        <f t="shared" si="35"/>
        <v>California</v>
      </c>
      <c r="N719" s="5" t="str">
        <f t="shared" si="33"/>
        <v>M</v>
      </c>
      <c r="O719" s="5" t="str">
        <f t="shared" si="34"/>
        <v>College</v>
      </c>
    </row>
    <row r="720" spans="1:15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 t="str">
        <f t="shared" si="35"/>
        <v>Arizona</v>
      </c>
      <c r="N720" s="5" t="str">
        <f t="shared" si="33"/>
        <v>F</v>
      </c>
      <c r="O720" s="5" t="str">
        <f t="shared" si="34"/>
        <v>High School or Below</v>
      </c>
    </row>
    <row r="721" spans="1:15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 t="str">
        <f t="shared" si="35"/>
        <v>Washington</v>
      </c>
      <c r="N721" s="5" t="str">
        <f t="shared" si="33"/>
        <v>M</v>
      </c>
      <c r="O721" s="5" t="str">
        <f t="shared" si="34"/>
        <v>Master</v>
      </c>
    </row>
    <row r="722" spans="1:15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 t="str">
        <f t="shared" si="35"/>
        <v>California</v>
      </c>
      <c r="N722" s="5" t="str">
        <f t="shared" si="33"/>
        <v>M</v>
      </c>
      <c r="O722" s="5" t="str">
        <f t="shared" si="34"/>
        <v>College</v>
      </c>
    </row>
    <row r="723" spans="1:15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 t="str">
        <f t="shared" si="35"/>
        <v>California</v>
      </c>
      <c r="N723" s="5" t="str">
        <f t="shared" si="33"/>
        <v>M</v>
      </c>
      <c r="O723" s="5" t="str">
        <f t="shared" si="34"/>
        <v>Bachelor</v>
      </c>
    </row>
    <row r="724" spans="1:15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 t="str">
        <f t="shared" si="35"/>
        <v>California</v>
      </c>
      <c r="N724" s="5" t="str">
        <f t="shared" si="33"/>
        <v>M</v>
      </c>
      <c r="O724" s="5" t="str">
        <f t="shared" si="34"/>
        <v>College</v>
      </c>
    </row>
    <row r="725" spans="1:15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 t="str">
        <f t="shared" si="35"/>
        <v>California</v>
      </c>
      <c r="N725" s="5" t="str">
        <f t="shared" si="33"/>
        <v>M</v>
      </c>
      <c r="O725" s="5" t="str">
        <f t="shared" si="34"/>
        <v>Bachelor</v>
      </c>
    </row>
    <row r="726" spans="1:15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 t="str">
        <f t="shared" si="35"/>
        <v>Oregon</v>
      </c>
      <c r="N726" s="5" t="str">
        <f t="shared" si="33"/>
        <v>M</v>
      </c>
      <c r="O726" s="5" t="str">
        <f t="shared" si="34"/>
        <v>College</v>
      </c>
    </row>
    <row r="727" spans="1:15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 t="str">
        <f t="shared" si="35"/>
        <v>Arizona</v>
      </c>
      <c r="N727" s="5" t="str">
        <f t="shared" si="33"/>
        <v>M</v>
      </c>
      <c r="O727" s="5" t="str">
        <f t="shared" si="34"/>
        <v>Bachelor</v>
      </c>
    </row>
    <row r="728" spans="1:15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 t="str">
        <f t="shared" si="35"/>
        <v>Arizona</v>
      </c>
      <c r="N728" s="5" t="str">
        <f t="shared" si="33"/>
        <v>F</v>
      </c>
      <c r="O728" s="5" t="str">
        <f t="shared" si="34"/>
        <v>High School or Below</v>
      </c>
    </row>
    <row r="729" spans="1:15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 t="str">
        <f t="shared" si="35"/>
        <v>Oregon</v>
      </c>
      <c r="N729" s="5" t="str">
        <f t="shared" si="33"/>
        <v>F</v>
      </c>
      <c r="O729" s="5" t="str">
        <f t="shared" si="34"/>
        <v>College</v>
      </c>
    </row>
    <row r="730" spans="1:15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 t="str">
        <f t="shared" si="35"/>
        <v>California</v>
      </c>
      <c r="N730" s="5" t="str">
        <f t="shared" si="33"/>
        <v>M</v>
      </c>
      <c r="O730" s="5" t="str">
        <f t="shared" si="34"/>
        <v>High School or Below</v>
      </c>
    </row>
    <row r="731" spans="1:15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 t="str">
        <f t="shared" si="35"/>
        <v>California</v>
      </c>
      <c r="N731" s="5" t="str">
        <f t="shared" si="33"/>
        <v>M</v>
      </c>
      <c r="O731" s="5" t="str">
        <f t="shared" si="34"/>
        <v>College</v>
      </c>
    </row>
    <row r="732" spans="1:15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 t="str">
        <f t="shared" si="35"/>
        <v>Nevada</v>
      </c>
      <c r="N732" s="5" t="str">
        <f t="shared" si="33"/>
        <v>M</v>
      </c>
      <c r="O732" s="5" t="str">
        <f t="shared" si="34"/>
        <v>Master</v>
      </c>
    </row>
    <row r="733" spans="1:15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 t="str">
        <f t="shared" si="35"/>
        <v>Washington</v>
      </c>
      <c r="N733" s="5" t="str">
        <f t="shared" si="33"/>
        <v>F</v>
      </c>
      <c r="O733" s="5" t="str">
        <f t="shared" si="34"/>
        <v>College</v>
      </c>
    </row>
    <row r="734" spans="1:15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 t="str">
        <f t="shared" si="35"/>
        <v>Arizona</v>
      </c>
      <c r="N734" s="5" t="str">
        <f t="shared" si="33"/>
        <v>M</v>
      </c>
      <c r="O734" s="5" t="str">
        <f t="shared" si="34"/>
        <v>Bachelor</v>
      </c>
    </row>
    <row r="735" spans="1:15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 t="str">
        <f t="shared" si="35"/>
        <v>Nevada</v>
      </c>
      <c r="N735" s="5" t="str">
        <f t="shared" si="33"/>
        <v>M</v>
      </c>
      <c r="O735" s="5" t="str">
        <f t="shared" si="34"/>
        <v>Bachelor</v>
      </c>
    </row>
    <row r="736" spans="1:15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 t="str">
        <f t="shared" si="35"/>
        <v>Arizona</v>
      </c>
      <c r="N736" s="5" t="str">
        <f t="shared" si="33"/>
        <v>M</v>
      </c>
      <c r="O736" s="5" t="str">
        <f t="shared" si="34"/>
        <v>Bachelor</v>
      </c>
    </row>
    <row r="737" spans="1:15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 t="str">
        <f t="shared" si="35"/>
        <v>Arizona</v>
      </c>
      <c r="N737" s="5" t="str">
        <f t="shared" si="33"/>
        <v>F</v>
      </c>
      <c r="O737" s="5" t="str">
        <f t="shared" si="34"/>
        <v>High School or Below</v>
      </c>
    </row>
    <row r="738" spans="1:15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 t="str">
        <f t="shared" si="35"/>
        <v>California</v>
      </c>
      <c r="N738" s="5" t="str">
        <f t="shared" si="33"/>
        <v>M</v>
      </c>
      <c r="O738" s="5" t="str">
        <f t="shared" si="34"/>
        <v>Bachelor</v>
      </c>
    </row>
    <row r="739" spans="1:15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 t="str">
        <f t="shared" si="35"/>
        <v>Arizona</v>
      </c>
      <c r="N739" s="5" t="str">
        <f t="shared" si="33"/>
        <v>M</v>
      </c>
      <c r="O739" s="5" t="str">
        <f t="shared" si="34"/>
        <v>Bachelor</v>
      </c>
    </row>
    <row r="740" spans="1:15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 t="str">
        <f t="shared" si="35"/>
        <v>Oregon</v>
      </c>
      <c r="N740" s="5" t="str">
        <f t="shared" si="33"/>
        <v>F</v>
      </c>
      <c r="O740" s="5" t="str">
        <f t="shared" si="34"/>
        <v>Bachelor</v>
      </c>
    </row>
    <row r="741" spans="1:15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 t="str">
        <f t="shared" si="35"/>
        <v>California</v>
      </c>
      <c r="N741" s="5" t="str">
        <f t="shared" si="33"/>
        <v>M</v>
      </c>
      <c r="O741" s="5" t="str">
        <f t="shared" si="34"/>
        <v>College</v>
      </c>
    </row>
    <row r="742" spans="1:15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 t="str">
        <f t="shared" si="35"/>
        <v>Oregon</v>
      </c>
      <c r="N742" s="5" t="str">
        <f t="shared" si="33"/>
        <v>M</v>
      </c>
      <c r="O742" s="5" t="str">
        <f t="shared" si="34"/>
        <v>College</v>
      </c>
    </row>
    <row r="743" spans="1:15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 t="str">
        <f t="shared" si="35"/>
        <v>Washington</v>
      </c>
      <c r="N743" s="5" t="str">
        <f t="shared" si="33"/>
        <v>M</v>
      </c>
      <c r="O743" s="5" t="str">
        <f t="shared" si="34"/>
        <v>Bachelor</v>
      </c>
    </row>
    <row r="744" spans="1:15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 t="str">
        <f t="shared" si="35"/>
        <v>Oregon</v>
      </c>
      <c r="N744" s="5" t="str">
        <f t="shared" si="33"/>
        <v>M</v>
      </c>
      <c r="O744" s="5" t="str">
        <f t="shared" si="34"/>
        <v>Master</v>
      </c>
    </row>
    <row r="745" spans="1:15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 t="str">
        <f t="shared" si="35"/>
        <v>California</v>
      </c>
      <c r="N745" s="5" t="str">
        <f t="shared" si="33"/>
        <v>F</v>
      </c>
      <c r="O745" s="5" t="str">
        <f t="shared" si="34"/>
        <v>High School or Below</v>
      </c>
    </row>
    <row r="746" spans="1:15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 t="str">
        <f t="shared" si="35"/>
        <v>Nevada</v>
      </c>
      <c r="N746" s="5" t="str">
        <f t="shared" si="33"/>
        <v>M</v>
      </c>
      <c r="O746" s="5" t="str">
        <f t="shared" si="34"/>
        <v>Bachelor</v>
      </c>
    </row>
    <row r="747" spans="1:15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 t="str">
        <f t="shared" si="35"/>
        <v>Oregon</v>
      </c>
      <c r="N747" s="5" t="str">
        <f t="shared" si="33"/>
        <v>F</v>
      </c>
      <c r="O747" s="5" t="str">
        <f t="shared" si="34"/>
        <v>High School or Below</v>
      </c>
    </row>
    <row r="748" spans="1:15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 t="str">
        <f t="shared" si="35"/>
        <v>California</v>
      </c>
      <c r="N748" s="5" t="str">
        <f t="shared" si="33"/>
        <v>F</v>
      </c>
      <c r="O748" s="5" t="str">
        <f t="shared" si="34"/>
        <v>Bachelor</v>
      </c>
    </row>
    <row r="749" spans="1:15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 t="str">
        <f t="shared" si="35"/>
        <v>Washington</v>
      </c>
      <c r="N749" s="5" t="str">
        <f t="shared" si="33"/>
        <v>F</v>
      </c>
      <c r="O749" s="5" t="str">
        <f t="shared" si="34"/>
        <v>High School or Below</v>
      </c>
    </row>
    <row r="750" spans="1:15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 t="str">
        <f t="shared" si="35"/>
        <v>Nevada</v>
      </c>
      <c r="N750" s="5" t="str">
        <f t="shared" si="33"/>
        <v>F</v>
      </c>
      <c r="O750" s="5" t="str">
        <f t="shared" si="34"/>
        <v>Master</v>
      </c>
    </row>
    <row r="751" spans="1:15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 t="str">
        <f t="shared" si="35"/>
        <v>Oregon</v>
      </c>
      <c r="N751" s="5" t="str">
        <f t="shared" si="33"/>
        <v>F</v>
      </c>
      <c r="O751" s="5" t="str">
        <f t="shared" si="34"/>
        <v>College</v>
      </c>
    </row>
    <row r="752" spans="1:15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 t="str">
        <f t="shared" si="35"/>
        <v>California</v>
      </c>
      <c r="N752" s="5" t="str">
        <f t="shared" si="33"/>
        <v>M</v>
      </c>
      <c r="O752" s="5" t="str">
        <f t="shared" si="34"/>
        <v>College</v>
      </c>
    </row>
    <row r="753" spans="1:15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 t="str">
        <f t="shared" si="35"/>
        <v>Washington</v>
      </c>
      <c r="N753" s="5" t="str">
        <f t="shared" si="33"/>
        <v>F</v>
      </c>
      <c r="O753" s="5" t="str">
        <f t="shared" si="34"/>
        <v>High School or Below</v>
      </c>
    </row>
    <row r="754" spans="1:15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 t="str">
        <f t="shared" si="35"/>
        <v>Arizona</v>
      </c>
      <c r="N754" s="5" t="str">
        <f t="shared" si="33"/>
        <v>F</v>
      </c>
      <c r="O754" s="5" t="str">
        <f t="shared" si="34"/>
        <v>College</v>
      </c>
    </row>
    <row r="755" spans="1:15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 t="str">
        <f t="shared" si="35"/>
        <v>California</v>
      </c>
      <c r="N755" s="5" t="str">
        <f t="shared" si="33"/>
        <v>F</v>
      </c>
      <c r="O755" s="5" t="str">
        <f t="shared" si="34"/>
        <v>College</v>
      </c>
    </row>
    <row r="756" spans="1:15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 t="str">
        <f t="shared" si="35"/>
        <v>California</v>
      </c>
      <c r="N756" s="5" t="str">
        <f t="shared" si="33"/>
        <v>F</v>
      </c>
      <c r="O756" s="5" t="str">
        <f t="shared" si="34"/>
        <v>Bachelor</v>
      </c>
    </row>
    <row r="757" spans="1:15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 t="str">
        <f t="shared" si="35"/>
        <v>California</v>
      </c>
      <c r="N757" s="5" t="str">
        <f t="shared" si="33"/>
        <v>F</v>
      </c>
      <c r="O757" s="5" t="str">
        <f t="shared" si="34"/>
        <v>Bachelor</v>
      </c>
    </row>
    <row r="758" spans="1:15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 t="str">
        <f t="shared" si="35"/>
        <v>Nevada</v>
      </c>
      <c r="N758" s="5" t="str">
        <f t="shared" si="33"/>
        <v>F</v>
      </c>
      <c r="O758" s="5" t="str">
        <f t="shared" si="34"/>
        <v>College</v>
      </c>
    </row>
    <row r="759" spans="1:15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 t="str">
        <f t="shared" si="35"/>
        <v>Arizona</v>
      </c>
      <c r="N759" s="5" t="str">
        <f t="shared" si="33"/>
        <v>M</v>
      </c>
      <c r="O759" s="5" t="str">
        <f t="shared" si="34"/>
        <v>High School or Below</v>
      </c>
    </row>
    <row r="760" spans="1:15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 t="str">
        <f t="shared" si="35"/>
        <v>Arizona</v>
      </c>
      <c r="N760" s="5" t="str">
        <f t="shared" si="33"/>
        <v>F</v>
      </c>
      <c r="O760" s="5" t="str">
        <f t="shared" si="34"/>
        <v>Bachelor</v>
      </c>
    </row>
    <row r="761" spans="1:15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 t="str">
        <f t="shared" si="35"/>
        <v>Oregon</v>
      </c>
      <c r="N761" s="5" t="str">
        <f t="shared" si="33"/>
        <v>M</v>
      </c>
      <c r="O761" s="5" t="str">
        <f t="shared" si="34"/>
        <v>College</v>
      </c>
    </row>
    <row r="762" spans="1:15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 t="str">
        <f t="shared" si="35"/>
        <v>Washington</v>
      </c>
      <c r="N762" s="5" t="str">
        <f t="shared" si="33"/>
        <v>M</v>
      </c>
      <c r="O762" s="5" t="str">
        <f t="shared" si="34"/>
        <v>High School or Below</v>
      </c>
    </row>
    <row r="763" spans="1:15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 t="str">
        <f t="shared" si="35"/>
        <v>California</v>
      </c>
      <c r="N763" s="5" t="str">
        <f t="shared" si="33"/>
        <v>F</v>
      </c>
      <c r="O763" s="5" t="str">
        <f t="shared" si="34"/>
        <v>High School or Below</v>
      </c>
    </row>
    <row r="764" spans="1:15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 t="str">
        <f t="shared" si="35"/>
        <v>California</v>
      </c>
      <c r="N764" s="5" t="str">
        <f t="shared" si="33"/>
        <v>F</v>
      </c>
      <c r="O764" s="5" t="str">
        <f t="shared" si="34"/>
        <v>High School or Below</v>
      </c>
    </row>
    <row r="765" spans="1:15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 t="str">
        <f t="shared" si="35"/>
        <v>Arizona</v>
      </c>
      <c r="N765" s="5" t="str">
        <f t="shared" si="33"/>
        <v>M</v>
      </c>
      <c r="O765" s="5" t="str">
        <f t="shared" si="34"/>
        <v>College</v>
      </c>
    </row>
    <row r="766" spans="1:15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 t="str">
        <f t="shared" si="35"/>
        <v>Nevada</v>
      </c>
      <c r="N766" s="5" t="str">
        <f t="shared" si="33"/>
        <v>M</v>
      </c>
      <c r="O766" s="5" t="str">
        <f t="shared" si="34"/>
        <v>High School or Below</v>
      </c>
    </row>
    <row r="767" spans="1:15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 t="str">
        <f t="shared" si="35"/>
        <v>Oregon</v>
      </c>
      <c r="N767" s="5" t="str">
        <f t="shared" si="33"/>
        <v>F</v>
      </c>
      <c r="O767" s="5" t="str">
        <f t="shared" si="34"/>
        <v>High School or Below</v>
      </c>
    </row>
    <row r="768" spans="1:15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 t="str">
        <f t="shared" si="35"/>
        <v>Oregon</v>
      </c>
      <c r="N768" s="5" t="str">
        <f t="shared" si="33"/>
        <v>F</v>
      </c>
      <c r="O768" s="5" t="str">
        <f t="shared" si="34"/>
        <v>Bachelor</v>
      </c>
    </row>
    <row r="769" spans="1:15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 t="str">
        <f t="shared" si="35"/>
        <v>California</v>
      </c>
      <c r="N769" s="5" t="str">
        <f t="shared" si="33"/>
        <v>M</v>
      </c>
      <c r="O769" s="5" t="str">
        <f t="shared" si="34"/>
        <v>College</v>
      </c>
    </row>
    <row r="770" spans="1:15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 t="str">
        <f t="shared" si="35"/>
        <v>California</v>
      </c>
      <c r="N770" s="5" t="str">
        <f t="shared" ref="N770:N833" si="36">IF(OR(C770="F",C770="Femal",C770="female"),"F",IF(OR(C770="M",C770="Male"),"M","NA"))</f>
        <v>F</v>
      </c>
      <c r="O770" s="5" t="str">
        <f t="shared" ref="O770:O833" si="37">IF(OR(D770="Bachelor",D770="Bachelors"),"Bachelor",D770)</f>
        <v>College</v>
      </c>
    </row>
    <row r="771" spans="1:15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 t="str">
        <f t="shared" ref="M771:M834" si="38">IF(OR(B771="Arizona",B771="AZ"),"Arizona",IF(OR(B771="California",B771="Cali"),"California",IF(B771="Nevada","Nevada",IF(B771="Oregon","Oregon",IF(OR(B771="Washington",B771="WA"),"Washington",B771)))))</f>
        <v>Oregon</v>
      </c>
      <c r="N771" s="5" t="str">
        <f t="shared" si="36"/>
        <v>M</v>
      </c>
      <c r="O771" s="5" t="str">
        <f t="shared" si="37"/>
        <v>Bachelor</v>
      </c>
    </row>
    <row r="772" spans="1:15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 t="str">
        <f t="shared" si="38"/>
        <v>Washington</v>
      </c>
      <c r="N772" s="5" t="str">
        <f t="shared" si="36"/>
        <v>F</v>
      </c>
      <c r="O772" s="5" t="str">
        <f t="shared" si="37"/>
        <v>College</v>
      </c>
    </row>
    <row r="773" spans="1:15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 t="str">
        <f t="shared" si="38"/>
        <v>California</v>
      </c>
      <c r="N773" s="5" t="str">
        <f t="shared" si="36"/>
        <v>F</v>
      </c>
      <c r="O773" s="5" t="str">
        <f t="shared" si="37"/>
        <v>Bachelor</v>
      </c>
    </row>
    <row r="774" spans="1:15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 t="str">
        <f t="shared" si="38"/>
        <v>Nevada</v>
      </c>
      <c r="N774" s="5" t="str">
        <f t="shared" si="36"/>
        <v>F</v>
      </c>
      <c r="O774" s="5" t="str">
        <f t="shared" si="37"/>
        <v>Bachelor</v>
      </c>
    </row>
    <row r="775" spans="1:15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 t="str">
        <f t="shared" si="38"/>
        <v>California</v>
      </c>
      <c r="N775" s="5" t="str">
        <f t="shared" si="36"/>
        <v>F</v>
      </c>
      <c r="O775" s="5" t="str">
        <f t="shared" si="37"/>
        <v>College</v>
      </c>
    </row>
    <row r="776" spans="1:15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 t="str">
        <f t="shared" si="38"/>
        <v>Arizona</v>
      </c>
      <c r="N776" s="5" t="str">
        <f t="shared" si="36"/>
        <v>M</v>
      </c>
      <c r="O776" s="5" t="str">
        <f t="shared" si="37"/>
        <v>Bachelor</v>
      </c>
    </row>
    <row r="777" spans="1:15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 t="str">
        <f t="shared" si="38"/>
        <v>Oregon</v>
      </c>
      <c r="N777" s="5" t="str">
        <f t="shared" si="36"/>
        <v>M</v>
      </c>
      <c r="O777" s="5" t="str">
        <f t="shared" si="37"/>
        <v>Bachelor</v>
      </c>
    </row>
    <row r="778" spans="1:15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 t="str">
        <f t="shared" si="38"/>
        <v>California</v>
      </c>
      <c r="N778" s="5" t="str">
        <f t="shared" si="36"/>
        <v>F</v>
      </c>
      <c r="O778" s="5" t="str">
        <f t="shared" si="37"/>
        <v>High School or Below</v>
      </c>
    </row>
    <row r="779" spans="1:15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 t="str">
        <f t="shared" si="38"/>
        <v>California</v>
      </c>
      <c r="N779" s="5" t="str">
        <f t="shared" si="36"/>
        <v>M</v>
      </c>
      <c r="O779" s="5" t="str">
        <f t="shared" si="37"/>
        <v>Bachelor</v>
      </c>
    </row>
    <row r="780" spans="1:15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 t="str">
        <f t="shared" si="38"/>
        <v>Oregon</v>
      </c>
      <c r="N780" s="5" t="str">
        <f t="shared" si="36"/>
        <v>M</v>
      </c>
      <c r="O780" s="5" t="str">
        <f t="shared" si="37"/>
        <v>College</v>
      </c>
    </row>
    <row r="781" spans="1:15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 t="str">
        <f t="shared" si="38"/>
        <v>California</v>
      </c>
      <c r="N781" s="5" t="str">
        <f t="shared" si="36"/>
        <v>F</v>
      </c>
      <c r="O781" s="5" t="str">
        <f t="shared" si="37"/>
        <v>High School or Below</v>
      </c>
    </row>
    <row r="782" spans="1:15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 t="str">
        <f t="shared" si="38"/>
        <v>Oregon</v>
      </c>
      <c r="N782" s="5" t="str">
        <f t="shared" si="36"/>
        <v>M</v>
      </c>
      <c r="O782" s="5" t="str">
        <f t="shared" si="37"/>
        <v>Bachelor</v>
      </c>
    </row>
    <row r="783" spans="1:15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 t="str">
        <f t="shared" si="38"/>
        <v>Oregon</v>
      </c>
      <c r="N783" s="5" t="str">
        <f t="shared" si="36"/>
        <v>F</v>
      </c>
      <c r="O783" s="5" t="str">
        <f t="shared" si="37"/>
        <v>High School or Below</v>
      </c>
    </row>
    <row r="784" spans="1:15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 t="str">
        <f t="shared" si="38"/>
        <v>California</v>
      </c>
      <c r="N784" s="5" t="str">
        <f t="shared" si="36"/>
        <v>F</v>
      </c>
      <c r="O784" s="5" t="str">
        <f t="shared" si="37"/>
        <v>College</v>
      </c>
    </row>
    <row r="785" spans="1:15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 t="str">
        <f t="shared" si="38"/>
        <v>Nevada</v>
      </c>
      <c r="N785" s="5" t="str">
        <f t="shared" si="36"/>
        <v>M</v>
      </c>
      <c r="O785" s="5" t="str">
        <f t="shared" si="37"/>
        <v>College</v>
      </c>
    </row>
    <row r="786" spans="1:15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 t="str">
        <f t="shared" si="38"/>
        <v>Oregon</v>
      </c>
      <c r="N786" s="5" t="str">
        <f t="shared" si="36"/>
        <v>M</v>
      </c>
      <c r="O786" s="5" t="str">
        <f t="shared" si="37"/>
        <v>College</v>
      </c>
    </row>
    <row r="787" spans="1:15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 t="str">
        <f t="shared" si="38"/>
        <v>California</v>
      </c>
      <c r="N787" s="5" t="str">
        <f t="shared" si="36"/>
        <v>F</v>
      </c>
      <c r="O787" s="5" t="str">
        <f t="shared" si="37"/>
        <v>High School or Below</v>
      </c>
    </row>
    <row r="788" spans="1:15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 t="str">
        <f t="shared" si="38"/>
        <v>Arizona</v>
      </c>
      <c r="N788" s="5" t="str">
        <f t="shared" si="36"/>
        <v>F</v>
      </c>
      <c r="O788" s="5" t="str">
        <f t="shared" si="37"/>
        <v>College</v>
      </c>
    </row>
    <row r="789" spans="1:15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 t="str">
        <f t="shared" si="38"/>
        <v>Nevada</v>
      </c>
      <c r="N789" s="5" t="str">
        <f t="shared" si="36"/>
        <v>F</v>
      </c>
      <c r="O789" s="5" t="str">
        <f t="shared" si="37"/>
        <v>Master</v>
      </c>
    </row>
    <row r="790" spans="1:15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 t="str">
        <f t="shared" si="38"/>
        <v>Oregon</v>
      </c>
      <c r="N790" s="5" t="str">
        <f t="shared" si="36"/>
        <v>F</v>
      </c>
      <c r="O790" s="5" t="str">
        <f t="shared" si="37"/>
        <v>College</v>
      </c>
    </row>
    <row r="791" spans="1:15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 t="str">
        <f t="shared" si="38"/>
        <v>Arizona</v>
      </c>
      <c r="N791" s="5" t="str">
        <f t="shared" si="36"/>
        <v>M</v>
      </c>
      <c r="O791" s="5" t="str">
        <f t="shared" si="37"/>
        <v>College</v>
      </c>
    </row>
    <row r="792" spans="1:15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 t="str">
        <f t="shared" si="38"/>
        <v>Washington</v>
      </c>
      <c r="N792" s="5" t="str">
        <f t="shared" si="36"/>
        <v>M</v>
      </c>
      <c r="O792" s="5" t="str">
        <f t="shared" si="37"/>
        <v>College</v>
      </c>
    </row>
    <row r="793" spans="1:15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 t="str">
        <f t="shared" si="38"/>
        <v>California</v>
      </c>
      <c r="N793" s="5" t="str">
        <f t="shared" si="36"/>
        <v>M</v>
      </c>
      <c r="O793" s="5" t="str">
        <f t="shared" si="37"/>
        <v>College</v>
      </c>
    </row>
    <row r="794" spans="1:15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 t="str">
        <f t="shared" si="38"/>
        <v>Arizona</v>
      </c>
      <c r="N794" s="5" t="str">
        <f t="shared" si="36"/>
        <v>M</v>
      </c>
      <c r="O794" s="5" t="str">
        <f t="shared" si="37"/>
        <v>College</v>
      </c>
    </row>
    <row r="795" spans="1:15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 t="str">
        <f t="shared" si="38"/>
        <v>Arizona</v>
      </c>
      <c r="N795" s="5" t="str">
        <f t="shared" si="36"/>
        <v>F</v>
      </c>
      <c r="O795" s="5" t="str">
        <f t="shared" si="37"/>
        <v>College</v>
      </c>
    </row>
    <row r="796" spans="1:15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 t="str">
        <f t="shared" si="38"/>
        <v>Arizona</v>
      </c>
      <c r="N796" s="5" t="str">
        <f t="shared" si="36"/>
        <v>F</v>
      </c>
      <c r="O796" s="5" t="str">
        <f t="shared" si="37"/>
        <v>Master</v>
      </c>
    </row>
    <row r="797" spans="1:15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 t="str">
        <f t="shared" si="38"/>
        <v>Oregon</v>
      </c>
      <c r="N797" s="5" t="str">
        <f t="shared" si="36"/>
        <v>F</v>
      </c>
      <c r="O797" s="5" t="str">
        <f t="shared" si="37"/>
        <v>High School or Below</v>
      </c>
    </row>
    <row r="798" spans="1:15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 t="str">
        <f t="shared" si="38"/>
        <v>Nevada</v>
      </c>
      <c r="N798" s="5" t="str">
        <f t="shared" si="36"/>
        <v>F</v>
      </c>
      <c r="O798" s="5" t="str">
        <f t="shared" si="37"/>
        <v>Bachelor</v>
      </c>
    </row>
    <row r="799" spans="1:15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 t="str">
        <f t="shared" si="38"/>
        <v>Washington</v>
      </c>
      <c r="N799" s="5" t="str">
        <f t="shared" si="36"/>
        <v>F</v>
      </c>
      <c r="O799" s="5" t="str">
        <f t="shared" si="37"/>
        <v>Bachelor</v>
      </c>
    </row>
    <row r="800" spans="1:15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 t="str">
        <f t="shared" si="38"/>
        <v>California</v>
      </c>
      <c r="N800" s="5" t="str">
        <f t="shared" si="36"/>
        <v>M</v>
      </c>
      <c r="O800" s="5" t="str">
        <f t="shared" si="37"/>
        <v>College</v>
      </c>
    </row>
    <row r="801" spans="1:15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 t="str">
        <f t="shared" si="38"/>
        <v>Oregon</v>
      </c>
      <c r="N801" s="5" t="str">
        <f t="shared" si="36"/>
        <v>M</v>
      </c>
      <c r="O801" s="5" t="str">
        <f t="shared" si="37"/>
        <v>College</v>
      </c>
    </row>
    <row r="802" spans="1:15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 t="str">
        <f t="shared" si="38"/>
        <v>Oregon</v>
      </c>
      <c r="N802" s="5" t="str">
        <f t="shared" si="36"/>
        <v>F</v>
      </c>
      <c r="O802" s="5" t="str">
        <f t="shared" si="37"/>
        <v>College</v>
      </c>
    </row>
    <row r="803" spans="1:15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 t="str">
        <f t="shared" si="38"/>
        <v>Oregon</v>
      </c>
      <c r="N803" s="5" t="str">
        <f t="shared" si="36"/>
        <v>F</v>
      </c>
      <c r="O803" s="5" t="str">
        <f t="shared" si="37"/>
        <v>Bachelor</v>
      </c>
    </row>
    <row r="804" spans="1:15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 t="str">
        <f t="shared" si="38"/>
        <v>California</v>
      </c>
      <c r="N804" s="5" t="str">
        <f t="shared" si="36"/>
        <v>F</v>
      </c>
      <c r="O804" s="5" t="str">
        <f t="shared" si="37"/>
        <v>High School or Below</v>
      </c>
    </row>
    <row r="805" spans="1:15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 t="str">
        <f t="shared" si="38"/>
        <v>Oregon</v>
      </c>
      <c r="N805" s="5" t="str">
        <f t="shared" si="36"/>
        <v>F</v>
      </c>
      <c r="O805" s="5" t="str">
        <f t="shared" si="37"/>
        <v>College</v>
      </c>
    </row>
    <row r="806" spans="1:15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 t="str">
        <f t="shared" si="38"/>
        <v>Oregon</v>
      </c>
      <c r="N806" s="5" t="str">
        <f t="shared" si="36"/>
        <v>F</v>
      </c>
      <c r="O806" s="5" t="str">
        <f t="shared" si="37"/>
        <v>High School or Below</v>
      </c>
    </row>
    <row r="807" spans="1:15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 t="str">
        <f t="shared" si="38"/>
        <v>Nevada</v>
      </c>
      <c r="N807" s="5" t="str">
        <f t="shared" si="36"/>
        <v>M</v>
      </c>
      <c r="O807" s="5" t="str">
        <f t="shared" si="37"/>
        <v>High School or Below</v>
      </c>
    </row>
    <row r="808" spans="1:15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 t="str">
        <f t="shared" si="38"/>
        <v>California</v>
      </c>
      <c r="N808" s="5" t="str">
        <f t="shared" si="36"/>
        <v>F</v>
      </c>
      <c r="O808" s="5" t="str">
        <f t="shared" si="37"/>
        <v>High School or Below</v>
      </c>
    </row>
    <row r="809" spans="1:15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 t="str">
        <f t="shared" si="38"/>
        <v>Arizona</v>
      </c>
      <c r="N809" s="5" t="str">
        <f t="shared" si="36"/>
        <v>M</v>
      </c>
      <c r="O809" s="5" t="str">
        <f t="shared" si="37"/>
        <v>Bachelor</v>
      </c>
    </row>
    <row r="810" spans="1:15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 t="str">
        <f t="shared" si="38"/>
        <v>Arizona</v>
      </c>
      <c r="N810" s="5" t="str">
        <f t="shared" si="36"/>
        <v>F</v>
      </c>
      <c r="O810" s="5" t="str">
        <f t="shared" si="37"/>
        <v>Bachelor</v>
      </c>
    </row>
    <row r="811" spans="1:15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 t="str">
        <f t="shared" si="38"/>
        <v>California</v>
      </c>
      <c r="N811" s="5" t="str">
        <f t="shared" si="36"/>
        <v>F</v>
      </c>
      <c r="O811" s="5" t="str">
        <f t="shared" si="37"/>
        <v>Bachelor</v>
      </c>
    </row>
    <row r="812" spans="1:15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 t="str">
        <f t="shared" si="38"/>
        <v>Oregon</v>
      </c>
      <c r="N812" s="5" t="str">
        <f t="shared" si="36"/>
        <v>M</v>
      </c>
      <c r="O812" s="5" t="str">
        <f t="shared" si="37"/>
        <v>Bachelor</v>
      </c>
    </row>
    <row r="813" spans="1:15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 t="str">
        <f t="shared" si="38"/>
        <v>Washington</v>
      </c>
      <c r="N813" s="5" t="str">
        <f t="shared" si="36"/>
        <v>M</v>
      </c>
      <c r="O813" s="5" t="str">
        <f t="shared" si="37"/>
        <v>Bachelor</v>
      </c>
    </row>
    <row r="814" spans="1:15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 t="str">
        <f t="shared" si="38"/>
        <v>Arizona</v>
      </c>
      <c r="N814" s="5" t="str">
        <f t="shared" si="36"/>
        <v>M</v>
      </c>
      <c r="O814" s="5" t="str">
        <f t="shared" si="37"/>
        <v>Doctor</v>
      </c>
    </row>
    <row r="815" spans="1:15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 t="str">
        <f t="shared" si="38"/>
        <v>Arizona</v>
      </c>
      <c r="N815" s="5" t="str">
        <f t="shared" si="36"/>
        <v>M</v>
      </c>
      <c r="O815" s="5" t="str">
        <f t="shared" si="37"/>
        <v>High School or Below</v>
      </c>
    </row>
    <row r="816" spans="1:15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 t="str">
        <f t="shared" si="38"/>
        <v>Washington</v>
      </c>
      <c r="N816" s="5" t="str">
        <f t="shared" si="36"/>
        <v>M</v>
      </c>
      <c r="O816" s="5" t="str">
        <f t="shared" si="37"/>
        <v>High School or Below</v>
      </c>
    </row>
    <row r="817" spans="1:15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 t="str">
        <f t="shared" si="38"/>
        <v>California</v>
      </c>
      <c r="N817" s="5" t="str">
        <f t="shared" si="36"/>
        <v>M</v>
      </c>
      <c r="O817" s="5" t="str">
        <f t="shared" si="37"/>
        <v>Master</v>
      </c>
    </row>
    <row r="818" spans="1:15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 t="str">
        <f t="shared" si="38"/>
        <v>Oregon</v>
      </c>
      <c r="N818" s="5" t="str">
        <f t="shared" si="36"/>
        <v>F</v>
      </c>
      <c r="O818" s="5" t="str">
        <f t="shared" si="37"/>
        <v>College</v>
      </c>
    </row>
    <row r="819" spans="1:15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 t="str">
        <f t="shared" si="38"/>
        <v>California</v>
      </c>
      <c r="N819" s="5" t="str">
        <f t="shared" si="36"/>
        <v>M</v>
      </c>
      <c r="O819" s="5" t="str">
        <f t="shared" si="37"/>
        <v>Bachelor</v>
      </c>
    </row>
    <row r="820" spans="1:15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 t="str">
        <f t="shared" si="38"/>
        <v>California</v>
      </c>
      <c r="N820" s="5" t="str">
        <f t="shared" si="36"/>
        <v>M</v>
      </c>
      <c r="O820" s="5" t="str">
        <f t="shared" si="37"/>
        <v>College</v>
      </c>
    </row>
    <row r="821" spans="1:15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 t="str">
        <f t="shared" si="38"/>
        <v>Oregon</v>
      </c>
      <c r="N821" s="5" t="str">
        <f t="shared" si="36"/>
        <v>F</v>
      </c>
      <c r="O821" s="5" t="str">
        <f t="shared" si="37"/>
        <v>Bachelor</v>
      </c>
    </row>
    <row r="822" spans="1:15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 t="str">
        <f t="shared" si="38"/>
        <v>Washington</v>
      </c>
      <c r="N822" s="5" t="str">
        <f t="shared" si="36"/>
        <v>F</v>
      </c>
      <c r="O822" s="5" t="str">
        <f t="shared" si="37"/>
        <v>High School or Below</v>
      </c>
    </row>
    <row r="823" spans="1:15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 t="str">
        <f t="shared" si="38"/>
        <v>Nevada</v>
      </c>
      <c r="N823" s="5" t="str">
        <f t="shared" si="36"/>
        <v>F</v>
      </c>
      <c r="O823" s="5" t="str">
        <f t="shared" si="37"/>
        <v>High School or Below</v>
      </c>
    </row>
    <row r="824" spans="1:15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 t="str">
        <f t="shared" si="38"/>
        <v>Oregon</v>
      </c>
      <c r="N824" s="5" t="str">
        <f t="shared" si="36"/>
        <v>M</v>
      </c>
      <c r="O824" s="5" t="str">
        <f t="shared" si="37"/>
        <v>Bachelor</v>
      </c>
    </row>
    <row r="825" spans="1:15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 t="str">
        <f t="shared" si="38"/>
        <v>Oregon</v>
      </c>
      <c r="N825" s="5" t="str">
        <f t="shared" si="36"/>
        <v>F</v>
      </c>
      <c r="O825" s="5" t="str">
        <f t="shared" si="37"/>
        <v>Doctor</v>
      </c>
    </row>
    <row r="826" spans="1:15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 t="str">
        <f t="shared" si="38"/>
        <v>California</v>
      </c>
      <c r="N826" s="5" t="str">
        <f t="shared" si="36"/>
        <v>F</v>
      </c>
      <c r="O826" s="5" t="str">
        <f t="shared" si="37"/>
        <v>High School or Below</v>
      </c>
    </row>
    <row r="827" spans="1:15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 t="str">
        <f t="shared" si="38"/>
        <v>California</v>
      </c>
      <c r="N827" s="5" t="str">
        <f t="shared" si="36"/>
        <v>M</v>
      </c>
      <c r="O827" s="5" t="str">
        <f t="shared" si="37"/>
        <v>Bachelor</v>
      </c>
    </row>
    <row r="828" spans="1:15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 t="str">
        <f t="shared" si="38"/>
        <v>California</v>
      </c>
      <c r="N828" s="5" t="str">
        <f t="shared" si="36"/>
        <v>F</v>
      </c>
      <c r="O828" s="5" t="str">
        <f t="shared" si="37"/>
        <v>Master</v>
      </c>
    </row>
    <row r="829" spans="1:15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 t="str">
        <f t="shared" si="38"/>
        <v>Nevada</v>
      </c>
      <c r="N829" s="5" t="str">
        <f t="shared" si="36"/>
        <v>F</v>
      </c>
      <c r="O829" s="5" t="str">
        <f t="shared" si="37"/>
        <v>Doctor</v>
      </c>
    </row>
    <row r="830" spans="1:15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 t="str">
        <f t="shared" si="38"/>
        <v>Nevada</v>
      </c>
      <c r="N830" s="5" t="str">
        <f t="shared" si="36"/>
        <v>M</v>
      </c>
      <c r="O830" s="5" t="str">
        <f t="shared" si="37"/>
        <v>High School or Below</v>
      </c>
    </row>
    <row r="831" spans="1:15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 t="str">
        <f t="shared" si="38"/>
        <v>Oregon</v>
      </c>
      <c r="N831" s="5" t="str">
        <f t="shared" si="36"/>
        <v>F</v>
      </c>
      <c r="O831" s="5" t="str">
        <f t="shared" si="37"/>
        <v>College</v>
      </c>
    </row>
    <row r="832" spans="1:15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 t="str">
        <f t="shared" si="38"/>
        <v>California</v>
      </c>
      <c r="N832" s="5" t="str">
        <f t="shared" si="36"/>
        <v>F</v>
      </c>
      <c r="O832" s="5" t="str">
        <f t="shared" si="37"/>
        <v>Master</v>
      </c>
    </row>
    <row r="833" spans="1:15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 t="str">
        <f t="shared" si="38"/>
        <v>Oregon</v>
      </c>
      <c r="N833" s="5" t="str">
        <f t="shared" si="36"/>
        <v>F</v>
      </c>
      <c r="O833" s="5" t="str">
        <f t="shared" si="37"/>
        <v>College</v>
      </c>
    </row>
    <row r="834" spans="1:15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 t="str">
        <f t="shared" si="38"/>
        <v>Oregon</v>
      </c>
      <c r="N834" s="5" t="str">
        <f t="shared" ref="N834:N897" si="39">IF(OR(C834="F",C834="Femal",C834="female"),"F",IF(OR(C834="M",C834="Male"),"M","NA"))</f>
        <v>M</v>
      </c>
      <c r="O834" s="5" t="str">
        <f t="shared" ref="O834:O897" si="40">IF(OR(D834="Bachelor",D834="Bachelors"),"Bachelor",D834)</f>
        <v>College</v>
      </c>
    </row>
    <row r="835" spans="1:15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 t="str">
        <f t="shared" ref="M835:M898" si="41">IF(OR(B835="Arizona",B835="AZ"),"Arizona",IF(OR(B835="California",B835="Cali"),"California",IF(B835="Nevada","Nevada",IF(B835="Oregon","Oregon",IF(OR(B835="Washington",B835="WA"),"Washington",B835)))))</f>
        <v>California</v>
      </c>
      <c r="N835" s="5" t="str">
        <f t="shared" si="39"/>
        <v>M</v>
      </c>
      <c r="O835" s="5" t="str">
        <f t="shared" si="40"/>
        <v>College</v>
      </c>
    </row>
    <row r="836" spans="1:15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 t="str">
        <f t="shared" si="41"/>
        <v>Washington</v>
      </c>
      <c r="N836" s="5" t="str">
        <f t="shared" si="39"/>
        <v>M</v>
      </c>
      <c r="O836" s="5" t="str">
        <f t="shared" si="40"/>
        <v>College</v>
      </c>
    </row>
    <row r="837" spans="1:15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 t="str">
        <f t="shared" si="41"/>
        <v>Arizona</v>
      </c>
      <c r="N837" s="5" t="str">
        <f t="shared" si="39"/>
        <v>M</v>
      </c>
      <c r="O837" s="5" t="str">
        <f t="shared" si="40"/>
        <v>Master</v>
      </c>
    </row>
    <row r="838" spans="1:15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 t="str">
        <f t="shared" si="41"/>
        <v>Arizona</v>
      </c>
      <c r="N838" s="5" t="str">
        <f t="shared" si="39"/>
        <v>M</v>
      </c>
      <c r="O838" s="5" t="str">
        <f t="shared" si="40"/>
        <v>Master</v>
      </c>
    </row>
    <row r="839" spans="1:15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 t="str">
        <f t="shared" si="41"/>
        <v>Arizona</v>
      </c>
      <c r="N839" s="5" t="str">
        <f t="shared" si="39"/>
        <v>F</v>
      </c>
      <c r="O839" s="5" t="str">
        <f t="shared" si="40"/>
        <v>High School or Below</v>
      </c>
    </row>
    <row r="840" spans="1:15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 t="str">
        <f t="shared" si="41"/>
        <v>California</v>
      </c>
      <c r="N840" s="5" t="str">
        <f t="shared" si="39"/>
        <v>M</v>
      </c>
      <c r="O840" s="5" t="str">
        <f t="shared" si="40"/>
        <v>Bachelor</v>
      </c>
    </row>
    <row r="841" spans="1:15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 t="str">
        <f t="shared" si="41"/>
        <v>Oregon</v>
      </c>
      <c r="N841" s="5" t="str">
        <f t="shared" si="39"/>
        <v>F</v>
      </c>
      <c r="O841" s="5" t="str">
        <f t="shared" si="40"/>
        <v>College</v>
      </c>
    </row>
    <row r="842" spans="1:15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 t="str">
        <f t="shared" si="41"/>
        <v>California</v>
      </c>
      <c r="N842" s="5" t="str">
        <f t="shared" si="39"/>
        <v>M</v>
      </c>
      <c r="O842" s="5" t="str">
        <f t="shared" si="40"/>
        <v>College</v>
      </c>
    </row>
    <row r="843" spans="1:15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 t="str">
        <f t="shared" si="41"/>
        <v>California</v>
      </c>
      <c r="N843" s="5" t="str">
        <f t="shared" si="39"/>
        <v>F</v>
      </c>
      <c r="O843" s="5" t="str">
        <f t="shared" si="40"/>
        <v>Bachelor</v>
      </c>
    </row>
    <row r="844" spans="1:15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 t="str">
        <f t="shared" si="41"/>
        <v>California</v>
      </c>
      <c r="N844" s="5" t="str">
        <f t="shared" si="39"/>
        <v>F</v>
      </c>
      <c r="O844" s="5" t="str">
        <f t="shared" si="40"/>
        <v>High School or Below</v>
      </c>
    </row>
    <row r="845" spans="1:15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 t="str">
        <f t="shared" si="41"/>
        <v>California</v>
      </c>
      <c r="N845" s="5" t="str">
        <f t="shared" si="39"/>
        <v>M</v>
      </c>
      <c r="O845" s="5" t="str">
        <f t="shared" si="40"/>
        <v>Bachelor</v>
      </c>
    </row>
    <row r="846" spans="1:15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 t="str">
        <f t="shared" si="41"/>
        <v>California</v>
      </c>
      <c r="N846" s="5" t="str">
        <f t="shared" si="39"/>
        <v>M</v>
      </c>
      <c r="O846" s="5" t="str">
        <f t="shared" si="40"/>
        <v>High School or Below</v>
      </c>
    </row>
    <row r="847" spans="1:15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 t="str">
        <f t="shared" si="41"/>
        <v>Arizona</v>
      </c>
      <c r="N847" s="5" t="str">
        <f t="shared" si="39"/>
        <v>F</v>
      </c>
      <c r="O847" s="5" t="str">
        <f t="shared" si="40"/>
        <v>High School or Below</v>
      </c>
    </row>
    <row r="848" spans="1:15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 t="str">
        <f t="shared" si="41"/>
        <v>California</v>
      </c>
      <c r="N848" s="5" t="str">
        <f t="shared" si="39"/>
        <v>F</v>
      </c>
      <c r="O848" s="5" t="str">
        <f t="shared" si="40"/>
        <v>Master</v>
      </c>
    </row>
    <row r="849" spans="1:15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 t="str">
        <f t="shared" si="41"/>
        <v>California</v>
      </c>
      <c r="N849" s="5" t="str">
        <f t="shared" si="39"/>
        <v>F</v>
      </c>
      <c r="O849" s="5" t="str">
        <f t="shared" si="40"/>
        <v>College</v>
      </c>
    </row>
    <row r="850" spans="1:15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 t="str">
        <f t="shared" si="41"/>
        <v>Oregon</v>
      </c>
      <c r="N850" s="5" t="str">
        <f t="shared" si="39"/>
        <v>M</v>
      </c>
      <c r="O850" s="5" t="str">
        <f t="shared" si="40"/>
        <v>College</v>
      </c>
    </row>
    <row r="851" spans="1:15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 t="str">
        <f t="shared" si="41"/>
        <v>California</v>
      </c>
      <c r="N851" s="5" t="str">
        <f t="shared" si="39"/>
        <v>F</v>
      </c>
      <c r="O851" s="5" t="str">
        <f t="shared" si="40"/>
        <v>Bachelor</v>
      </c>
    </row>
    <row r="852" spans="1:15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 t="str">
        <f t="shared" si="41"/>
        <v>Oregon</v>
      </c>
      <c r="N852" s="5" t="str">
        <f t="shared" si="39"/>
        <v>M</v>
      </c>
      <c r="O852" s="5" t="str">
        <f t="shared" si="40"/>
        <v>Bachelor</v>
      </c>
    </row>
    <row r="853" spans="1:15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 t="str">
        <f t="shared" si="41"/>
        <v>California</v>
      </c>
      <c r="N853" s="5" t="str">
        <f t="shared" si="39"/>
        <v>M</v>
      </c>
      <c r="O853" s="5" t="str">
        <f t="shared" si="40"/>
        <v>College</v>
      </c>
    </row>
    <row r="854" spans="1:15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 t="str">
        <f t="shared" si="41"/>
        <v>Oregon</v>
      </c>
      <c r="N854" s="5" t="str">
        <f t="shared" si="39"/>
        <v>M</v>
      </c>
      <c r="O854" s="5" t="str">
        <f t="shared" si="40"/>
        <v>College</v>
      </c>
    </row>
    <row r="855" spans="1:15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 t="str">
        <f t="shared" si="41"/>
        <v>Washington</v>
      </c>
      <c r="N855" s="5" t="str">
        <f t="shared" si="39"/>
        <v>M</v>
      </c>
      <c r="O855" s="5" t="str">
        <f t="shared" si="40"/>
        <v>College</v>
      </c>
    </row>
    <row r="856" spans="1:15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 t="str">
        <f t="shared" si="41"/>
        <v>California</v>
      </c>
      <c r="N856" s="5" t="str">
        <f t="shared" si="39"/>
        <v>M</v>
      </c>
      <c r="O856" s="5" t="str">
        <f t="shared" si="40"/>
        <v>Doctor</v>
      </c>
    </row>
    <row r="857" spans="1:15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 t="str">
        <f t="shared" si="41"/>
        <v>California</v>
      </c>
      <c r="N857" s="5" t="str">
        <f t="shared" si="39"/>
        <v>M</v>
      </c>
      <c r="O857" s="5" t="str">
        <f t="shared" si="40"/>
        <v>Bachelor</v>
      </c>
    </row>
    <row r="858" spans="1:15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 t="str">
        <f t="shared" si="41"/>
        <v>Washington</v>
      </c>
      <c r="N858" s="5" t="str">
        <f t="shared" si="39"/>
        <v>F</v>
      </c>
      <c r="O858" s="5" t="str">
        <f t="shared" si="40"/>
        <v>College</v>
      </c>
    </row>
    <row r="859" spans="1:15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 t="str">
        <f t="shared" si="41"/>
        <v>California</v>
      </c>
      <c r="N859" s="5" t="str">
        <f t="shared" si="39"/>
        <v>F</v>
      </c>
      <c r="O859" s="5" t="str">
        <f t="shared" si="40"/>
        <v>Master</v>
      </c>
    </row>
    <row r="860" spans="1:15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 t="str">
        <f t="shared" si="41"/>
        <v>California</v>
      </c>
      <c r="N860" s="5" t="str">
        <f t="shared" si="39"/>
        <v>F</v>
      </c>
      <c r="O860" s="5" t="str">
        <f t="shared" si="40"/>
        <v>College</v>
      </c>
    </row>
    <row r="861" spans="1:15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 t="str">
        <f t="shared" si="41"/>
        <v>Oregon</v>
      </c>
      <c r="N861" s="5" t="str">
        <f t="shared" si="39"/>
        <v>M</v>
      </c>
      <c r="O861" s="5" t="str">
        <f t="shared" si="40"/>
        <v>Master</v>
      </c>
    </row>
    <row r="862" spans="1:15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 t="str">
        <f t="shared" si="41"/>
        <v>Arizona</v>
      </c>
      <c r="N862" s="5" t="str">
        <f t="shared" si="39"/>
        <v>F</v>
      </c>
      <c r="O862" s="5" t="str">
        <f t="shared" si="40"/>
        <v>Bachelor</v>
      </c>
    </row>
    <row r="863" spans="1:15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 t="str">
        <f t="shared" si="41"/>
        <v>Washington</v>
      </c>
      <c r="N863" s="5" t="str">
        <f t="shared" si="39"/>
        <v>M</v>
      </c>
      <c r="O863" s="5" t="str">
        <f t="shared" si="40"/>
        <v>High School or Below</v>
      </c>
    </row>
    <row r="864" spans="1:15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 t="str">
        <f t="shared" si="41"/>
        <v>California</v>
      </c>
      <c r="N864" s="5" t="str">
        <f t="shared" si="39"/>
        <v>F</v>
      </c>
      <c r="O864" s="5" t="str">
        <f t="shared" si="40"/>
        <v>College</v>
      </c>
    </row>
    <row r="865" spans="1:15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 t="str">
        <f t="shared" si="41"/>
        <v>Oregon</v>
      </c>
      <c r="N865" s="5" t="str">
        <f t="shared" si="39"/>
        <v>F</v>
      </c>
      <c r="O865" s="5" t="str">
        <f t="shared" si="40"/>
        <v>College</v>
      </c>
    </row>
    <row r="866" spans="1:15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 t="str">
        <f t="shared" si="41"/>
        <v>Oregon</v>
      </c>
      <c r="N866" s="5" t="str">
        <f t="shared" si="39"/>
        <v>M</v>
      </c>
      <c r="O866" s="5" t="str">
        <f t="shared" si="40"/>
        <v>High School or Below</v>
      </c>
    </row>
    <row r="867" spans="1:15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 t="str">
        <f t="shared" si="41"/>
        <v>California</v>
      </c>
      <c r="N867" s="5" t="str">
        <f t="shared" si="39"/>
        <v>M</v>
      </c>
      <c r="O867" s="5" t="str">
        <f t="shared" si="40"/>
        <v>College</v>
      </c>
    </row>
    <row r="868" spans="1:15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 t="str">
        <f t="shared" si="41"/>
        <v>Arizona</v>
      </c>
      <c r="N868" s="5" t="str">
        <f t="shared" si="39"/>
        <v>M</v>
      </c>
      <c r="O868" s="5" t="str">
        <f t="shared" si="40"/>
        <v>Bachelor</v>
      </c>
    </row>
    <row r="869" spans="1:15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 t="str">
        <f t="shared" si="41"/>
        <v>Nevada</v>
      </c>
      <c r="N869" s="5" t="str">
        <f t="shared" si="39"/>
        <v>F</v>
      </c>
      <c r="O869" s="5" t="str">
        <f t="shared" si="40"/>
        <v>High School or Below</v>
      </c>
    </row>
    <row r="870" spans="1:15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 t="str">
        <f t="shared" si="41"/>
        <v>Nevada</v>
      </c>
      <c r="N870" s="5" t="str">
        <f t="shared" si="39"/>
        <v>F</v>
      </c>
      <c r="O870" s="5" t="str">
        <f t="shared" si="40"/>
        <v>High School or Below</v>
      </c>
    </row>
    <row r="871" spans="1:15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 t="str">
        <f t="shared" si="41"/>
        <v>Washington</v>
      </c>
      <c r="N871" s="5" t="str">
        <f t="shared" si="39"/>
        <v>F</v>
      </c>
      <c r="O871" s="5" t="str">
        <f t="shared" si="40"/>
        <v>College</v>
      </c>
    </row>
    <row r="872" spans="1:15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 t="str">
        <f t="shared" si="41"/>
        <v>Oregon</v>
      </c>
      <c r="N872" s="5" t="str">
        <f t="shared" si="39"/>
        <v>M</v>
      </c>
      <c r="O872" s="5" t="str">
        <f t="shared" si="40"/>
        <v>Master</v>
      </c>
    </row>
    <row r="873" spans="1:15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 t="str">
        <f t="shared" si="41"/>
        <v>Arizona</v>
      </c>
      <c r="N873" s="5" t="str">
        <f t="shared" si="39"/>
        <v>M</v>
      </c>
      <c r="O873" s="5" t="str">
        <f t="shared" si="40"/>
        <v>High School or Below</v>
      </c>
    </row>
    <row r="874" spans="1:15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 t="str">
        <f t="shared" si="41"/>
        <v>Arizona</v>
      </c>
      <c r="N874" s="5" t="str">
        <f t="shared" si="39"/>
        <v>M</v>
      </c>
      <c r="O874" s="5" t="str">
        <f t="shared" si="40"/>
        <v>Bachelor</v>
      </c>
    </row>
    <row r="875" spans="1:15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 t="str">
        <f t="shared" si="41"/>
        <v>Washington</v>
      </c>
      <c r="N875" s="5" t="str">
        <f t="shared" si="39"/>
        <v>M</v>
      </c>
      <c r="O875" s="5" t="str">
        <f t="shared" si="40"/>
        <v>College</v>
      </c>
    </row>
    <row r="876" spans="1:15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 t="str">
        <f t="shared" si="41"/>
        <v>California</v>
      </c>
      <c r="N876" s="5" t="str">
        <f t="shared" si="39"/>
        <v>M</v>
      </c>
      <c r="O876" s="5" t="str">
        <f t="shared" si="40"/>
        <v>High School or Below</v>
      </c>
    </row>
    <row r="877" spans="1:15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 t="str">
        <f t="shared" si="41"/>
        <v>Oregon</v>
      </c>
      <c r="N877" s="5" t="str">
        <f t="shared" si="39"/>
        <v>M</v>
      </c>
      <c r="O877" s="5" t="str">
        <f t="shared" si="40"/>
        <v>College</v>
      </c>
    </row>
    <row r="878" spans="1:15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 t="str">
        <f t="shared" si="41"/>
        <v>California</v>
      </c>
      <c r="N878" s="5" t="str">
        <f t="shared" si="39"/>
        <v>M</v>
      </c>
      <c r="O878" s="5" t="str">
        <f t="shared" si="40"/>
        <v>College</v>
      </c>
    </row>
    <row r="879" spans="1:15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 t="str">
        <f t="shared" si="41"/>
        <v>Arizona</v>
      </c>
      <c r="N879" s="5" t="str">
        <f t="shared" si="39"/>
        <v>M</v>
      </c>
      <c r="O879" s="5" t="str">
        <f t="shared" si="40"/>
        <v>Master</v>
      </c>
    </row>
    <row r="880" spans="1:15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 t="str">
        <f t="shared" si="41"/>
        <v>California</v>
      </c>
      <c r="N880" s="5" t="str">
        <f t="shared" si="39"/>
        <v>M</v>
      </c>
      <c r="O880" s="5" t="str">
        <f t="shared" si="40"/>
        <v>Bachelor</v>
      </c>
    </row>
    <row r="881" spans="1:15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 t="str">
        <f t="shared" si="41"/>
        <v>Oregon</v>
      </c>
      <c r="N881" s="5" t="str">
        <f t="shared" si="39"/>
        <v>F</v>
      </c>
      <c r="O881" s="5" t="str">
        <f t="shared" si="40"/>
        <v>College</v>
      </c>
    </row>
    <row r="882" spans="1:15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 t="str">
        <f t="shared" si="41"/>
        <v>Arizona</v>
      </c>
      <c r="N882" s="5" t="str">
        <f t="shared" si="39"/>
        <v>M</v>
      </c>
      <c r="O882" s="5" t="str">
        <f t="shared" si="40"/>
        <v>Bachelor</v>
      </c>
    </row>
    <row r="883" spans="1:15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 t="str">
        <f t="shared" si="41"/>
        <v>Arizona</v>
      </c>
      <c r="N883" s="5" t="str">
        <f t="shared" si="39"/>
        <v>F</v>
      </c>
      <c r="O883" s="5" t="str">
        <f t="shared" si="40"/>
        <v>High School or Below</v>
      </c>
    </row>
    <row r="884" spans="1:15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 t="str">
        <f t="shared" si="41"/>
        <v>Arizona</v>
      </c>
      <c r="N884" s="5" t="str">
        <f t="shared" si="39"/>
        <v>F</v>
      </c>
      <c r="O884" s="5" t="str">
        <f t="shared" si="40"/>
        <v>High School or Below</v>
      </c>
    </row>
    <row r="885" spans="1:15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 t="str">
        <f t="shared" si="41"/>
        <v>Oregon</v>
      </c>
      <c r="N885" s="5" t="str">
        <f t="shared" si="39"/>
        <v>M</v>
      </c>
      <c r="O885" s="5" t="str">
        <f t="shared" si="40"/>
        <v>High School or Below</v>
      </c>
    </row>
    <row r="886" spans="1:15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 t="str">
        <f t="shared" si="41"/>
        <v>Washington</v>
      </c>
      <c r="N886" s="5" t="str">
        <f t="shared" si="39"/>
        <v>F</v>
      </c>
      <c r="O886" s="5" t="str">
        <f t="shared" si="40"/>
        <v>High School or Below</v>
      </c>
    </row>
    <row r="887" spans="1:15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 t="str">
        <f t="shared" si="41"/>
        <v>Nevada</v>
      </c>
      <c r="N887" s="5" t="str">
        <f t="shared" si="39"/>
        <v>F</v>
      </c>
      <c r="O887" s="5" t="str">
        <f t="shared" si="40"/>
        <v>College</v>
      </c>
    </row>
    <row r="888" spans="1:15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 t="str">
        <f t="shared" si="41"/>
        <v>Arizona</v>
      </c>
      <c r="N888" s="5" t="str">
        <f t="shared" si="39"/>
        <v>M</v>
      </c>
      <c r="O888" s="5" t="str">
        <f t="shared" si="40"/>
        <v>High School or Below</v>
      </c>
    </row>
    <row r="889" spans="1:15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 t="str">
        <f t="shared" si="41"/>
        <v>California</v>
      </c>
      <c r="N889" s="5" t="str">
        <f t="shared" si="39"/>
        <v>M</v>
      </c>
      <c r="O889" s="5" t="str">
        <f t="shared" si="40"/>
        <v>High School or Below</v>
      </c>
    </row>
    <row r="890" spans="1:15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 t="str">
        <f t="shared" si="41"/>
        <v>Arizona</v>
      </c>
      <c r="N890" s="5" t="str">
        <f t="shared" si="39"/>
        <v>M</v>
      </c>
      <c r="O890" s="5" t="str">
        <f t="shared" si="40"/>
        <v>Bachelor</v>
      </c>
    </row>
    <row r="891" spans="1:15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 t="str">
        <f t="shared" si="41"/>
        <v>California</v>
      </c>
      <c r="N891" s="5" t="str">
        <f t="shared" si="39"/>
        <v>F</v>
      </c>
      <c r="O891" s="5" t="str">
        <f t="shared" si="40"/>
        <v>College</v>
      </c>
    </row>
    <row r="892" spans="1:15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 t="str">
        <f t="shared" si="41"/>
        <v>California</v>
      </c>
      <c r="N892" s="5" t="str">
        <f t="shared" si="39"/>
        <v>F</v>
      </c>
      <c r="O892" s="5" t="str">
        <f t="shared" si="40"/>
        <v>Bachelor</v>
      </c>
    </row>
    <row r="893" spans="1:15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 t="str">
        <f t="shared" si="41"/>
        <v>California</v>
      </c>
      <c r="N893" s="5" t="str">
        <f t="shared" si="39"/>
        <v>F</v>
      </c>
      <c r="O893" s="5" t="str">
        <f t="shared" si="40"/>
        <v>Bachelor</v>
      </c>
    </row>
    <row r="894" spans="1:15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 t="str">
        <f t="shared" si="41"/>
        <v>Arizona</v>
      </c>
      <c r="N894" s="5" t="str">
        <f t="shared" si="39"/>
        <v>F</v>
      </c>
      <c r="O894" s="5" t="str">
        <f t="shared" si="40"/>
        <v>High School or Below</v>
      </c>
    </row>
    <row r="895" spans="1:15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 t="str">
        <f t="shared" si="41"/>
        <v>Arizona</v>
      </c>
      <c r="N895" s="5" t="str">
        <f t="shared" si="39"/>
        <v>M</v>
      </c>
      <c r="O895" s="5" t="str">
        <f t="shared" si="40"/>
        <v>Bachelor</v>
      </c>
    </row>
    <row r="896" spans="1:15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 t="str">
        <f t="shared" si="41"/>
        <v>Oregon</v>
      </c>
      <c r="N896" s="5" t="str">
        <f t="shared" si="39"/>
        <v>M</v>
      </c>
      <c r="O896" s="5" t="str">
        <f t="shared" si="40"/>
        <v>Bachelor</v>
      </c>
    </row>
    <row r="897" spans="1:15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 t="str">
        <f t="shared" si="41"/>
        <v>California</v>
      </c>
      <c r="N897" s="5" t="str">
        <f t="shared" si="39"/>
        <v>M</v>
      </c>
      <c r="O897" s="5" t="str">
        <f t="shared" si="40"/>
        <v>High School or Below</v>
      </c>
    </row>
    <row r="898" spans="1:15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 t="str">
        <f t="shared" si="41"/>
        <v>Washington</v>
      </c>
      <c r="N898" s="5" t="str">
        <f t="shared" ref="N898:N961" si="42">IF(OR(C898="F",C898="Femal",C898="female"),"F",IF(OR(C898="M",C898="Male"),"M","NA"))</f>
        <v>M</v>
      </c>
      <c r="O898" s="5" t="str">
        <f t="shared" ref="O898:O961" si="43">IF(OR(D898="Bachelor",D898="Bachelors"),"Bachelor",D898)</f>
        <v>Bachelor</v>
      </c>
    </row>
    <row r="899" spans="1:15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 t="str">
        <f t="shared" ref="M899:M962" si="44">IF(OR(B899="Arizona",B899="AZ"),"Arizona",IF(OR(B899="California",B899="Cali"),"California",IF(B899="Nevada","Nevada",IF(B899="Oregon","Oregon",IF(OR(B899="Washington",B899="WA"),"Washington",B899)))))</f>
        <v>Washington</v>
      </c>
      <c r="N899" s="5" t="str">
        <f t="shared" si="42"/>
        <v>F</v>
      </c>
      <c r="O899" s="5" t="str">
        <f t="shared" si="43"/>
        <v>High School or Below</v>
      </c>
    </row>
    <row r="900" spans="1:15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 t="str">
        <f t="shared" si="44"/>
        <v>Nevada</v>
      </c>
      <c r="N900" s="5" t="str">
        <f t="shared" si="42"/>
        <v>F</v>
      </c>
      <c r="O900" s="5" t="str">
        <f t="shared" si="43"/>
        <v>Master</v>
      </c>
    </row>
    <row r="901" spans="1:15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 t="str">
        <f t="shared" si="44"/>
        <v>California</v>
      </c>
      <c r="N901" s="5" t="str">
        <f t="shared" si="42"/>
        <v>F</v>
      </c>
      <c r="O901" s="5" t="str">
        <f t="shared" si="43"/>
        <v>Bachelor</v>
      </c>
    </row>
    <row r="902" spans="1:15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 t="str">
        <f t="shared" si="44"/>
        <v>Arizona</v>
      </c>
      <c r="N902" s="5" t="str">
        <f t="shared" si="42"/>
        <v>F</v>
      </c>
      <c r="O902" s="5" t="str">
        <f t="shared" si="43"/>
        <v>High School or Below</v>
      </c>
    </row>
    <row r="903" spans="1:15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 t="str">
        <f t="shared" si="44"/>
        <v>California</v>
      </c>
      <c r="N903" s="5" t="str">
        <f t="shared" si="42"/>
        <v>F</v>
      </c>
      <c r="O903" s="5" t="str">
        <f t="shared" si="43"/>
        <v>Bachelor</v>
      </c>
    </row>
    <row r="904" spans="1:15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 t="str">
        <f t="shared" si="44"/>
        <v>Oregon</v>
      </c>
      <c r="N904" s="5" t="str">
        <f t="shared" si="42"/>
        <v>M</v>
      </c>
      <c r="O904" s="5" t="str">
        <f t="shared" si="43"/>
        <v>Doctor</v>
      </c>
    </row>
    <row r="905" spans="1:15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 t="str">
        <f t="shared" si="44"/>
        <v>Oregon</v>
      </c>
      <c r="N905" s="5" t="str">
        <f t="shared" si="42"/>
        <v>F</v>
      </c>
      <c r="O905" s="5" t="str">
        <f t="shared" si="43"/>
        <v>Bachelor</v>
      </c>
    </row>
    <row r="906" spans="1:15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 t="str">
        <f t="shared" si="44"/>
        <v>Arizona</v>
      </c>
      <c r="N906" s="5" t="str">
        <f t="shared" si="42"/>
        <v>M</v>
      </c>
      <c r="O906" s="5" t="str">
        <f t="shared" si="43"/>
        <v>High School or Below</v>
      </c>
    </row>
    <row r="907" spans="1:15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 t="str">
        <f t="shared" si="44"/>
        <v>California</v>
      </c>
      <c r="N907" s="5" t="str">
        <f t="shared" si="42"/>
        <v>M</v>
      </c>
      <c r="O907" s="5" t="str">
        <f t="shared" si="43"/>
        <v>College</v>
      </c>
    </row>
    <row r="908" spans="1:15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 t="str">
        <f t="shared" si="44"/>
        <v>Arizona</v>
      </c>
      <c r="N908" s="5" t="str">
        <f t="shared" si="42"/>
        <v>F</v>
      </c>
      <c r="O908" s="5" t="str">
        <f t="shared" si="43"/>
        <v>College</v>
      </c>
    </row>
    <row r="909" spans="1:15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 t="str">
        <f t="shared" si="44"/>
        <v>California</v>
      </c>
      <c r="N909" s="5" t="str">
        <f t="shared" si="42"/>
        <v>F</v>
      </c>
      <c r="O909" s="5" t="str">
        <f t="shared" si="43"/>
        <v>College</v>
      </c>
    </row>
    <row r="910" spans="1:15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 t="str">
        <f t="shared" si="44"/>
        <v>Arizona</v>
      </c>
      <c r="N910" s="5" t="str">
        <f t="shared" si="42"/>
        <v>F</v>
      </c>
      <c r="O910" s="5" t="str">
        <f t="shared" si="43"/>
        <v>High School or Below</v>
      </c>
    </row>
    <row r="911" spans="1:15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 t="str">
        <f t="shared" si="44"/>
        <v>Nevada</v>
      </c>
      <c r="N911" s="5" t="str">
        <f t="shared" si="42"/>
        <v>F</v>
      </c>
      <c r="O911" s="5" t="str">
        <f t="shared" si="43"/>
        <v>Bachelor</v>
      </c>
    </row>
    <row r="912" spans="1:15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 t="str">
        <f t="shared" si="44"/>
        <v>Oregon</v>
      </c>
      <c r="N912" s="5" t="str">
        <f t="shared" si="42"/>
        <v>M</v>
      </c>
      <c r="O912" s="5" t="str">
        <f t="shared" si="43"/>
        <v>Bachelor</v>
      </c>
    </row>
    <row r="913" spans="1:15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 t="str">
        <f t="shared" si="44"/>
        <v>Arizona</v>
      </c>
      <c r="N913" s="5" t="str">
        <f t="shared" si="42"/>
        <v>F</v>
      </c>
      <c r="O913" s="5" t="str">
        <f t="shared" si="43"/>
        <v>High School or Below</v>
      </c>
    </row>
    <row r="914" spans="1:15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 t="str">
        <f t="shared" si="44"/>
        <v>Arizona</v>
      </c>
      <c r="N914" s="5" t="str">
        <f t="shared" si="42"/>
        <v>F</v>
      </c>
      <c r="O914" s="5" t="str">
        <f t="shared" si="43"/>
        <v>Bachelor</v>
      </c>
    </row>
    <row r="915" spans="1:15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 t="str">
        <f t="shared" si="44"/>
        <v>California</v>
      </c>
      <c r="N915" s="5" t="str">
        <f t="shared" si="42"/>
        <v>F</v>
      </c>
      <c r="O915" s="5" t="str">
        <f t="shared" si="43"/>
        <v>College</v>
      </c>
    </row>
    <row r="916" spans="1:15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 t="str">
        <f t="shared" si="44"/>
        <v>Washington</v>
      </c>
      <c r="N916" s="5" t="str">
        <f t="shared" si="42"/>
        <v>F</v>
      </c>
      <c r="O916" s="5" t="str">
        <f t="shared" si="43"/>
        <v>College</v>
      </c>
    </row>
    <row r="917" spans="1:15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 t="str">
        <f t="shared" si="44"/>
        <v>Washington</v>
      </c>
      <c r="N917" s="5" t="str">
        <f t="shared" si="42"/>
        <v>M</v>
      </c>
      <c r="O917" s="5" t="str">
        <f t="shared" si="43"/>
        <v>College</v>
      </c>
    </row>
    <row r="918" spans="1:15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 t="str">
        <f t="shared" si="44"/>
        <v>Oregon</v>
      </c>
      <c r="N918" s="5" t="str">
        <f t="shared" si="42"/>
        <v>F</v>
      </c>
      <c r="O918" s="5" t="str">
        <f t="shared" si="43"/>
        <v>College</v>
      </c>
    </row>
    <row r="919" spans="1:15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 t="str">
        <f t="shared" si="44"/>
        <v>Arizona</v>
      </c>
      <c r="N919" s="5" t="str">
        <f t="shared" si="42"/>
        <v>F</v>
      </c>
      <c r="O919" s="5" t="str">
        <f t="shared" si="43"/>
        <v>High School or Below</v>
      </c>
    </row>
    <row r="920" spans="1:15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 t="str">
        <f t="shared" si="44"/>
        <v>Washington</v>
      </c>
      <c r="N920" s="5" t="str">
        <f t="shared" si="42"/>
        <v>F</v>
      </c>
      <c r="O920" s="5" t="str">
        <f t="shared" si="43"/>
        <v>College</v>
      </c>
    </row>
    <row r="921" spans="1:15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 t="str">
        <f t="shared" si="44"/>
        <v>California</v>
      </c>
      <c r="N921" s="5" t="str">
        <f t="shared" si="42"/>
        <v>F</v>
      </c>
      <c r="O921" s="5" t="str">
        <f t="shared" si="43"/>
        <v>High School or Below</v>
      </c>
    </row>
    <row r="922" spans="1:15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 t="str">
        <f t="shared" si="44"/>
        <v>California</v>
      </c>
      <c r="N922" s="5" t="str">
        <f t="shared" si="42"/>
        <v>M</v>
      </c>
      <c r="O922" s="5" t="str">
        <f t="shared" si="43"/>
        <v>Bachelor</v>
      </c>
    </row>
    <row r="923" spans="1:15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 t="str">
        <f t="shared" si="44"/>
        <v>Oregon</v>
      </c>
      <c r="N923" s="5" t="str">
        <f t="shared" si="42"/>
        <v>M</v>
      </c>
      <c r="O923" s="5" t="str">
        <f t="shared" si="43"/>
        <v>College</v>
      </c>
    </row>
    <row r="924" spans="1:15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 t="str">
        <f t="shared" si="44"/>
        <v>Oregon</v>
      </c>
      <c r="N924" s="5" t="str">
        <f t="shared" si="42"/>
        <v>M</v>
      </c>
      <c r="O924" s="5" t="str">
        <f t="shared" si="43"/>
        <v>High School or Below</v>
      </c>
    </row>
    <row r="925" spans="1:15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 t="str">
        <f t="shared" si="44"/>
        <v>Arizona</v>
      </c>
      <c r="N925" s="5" t="str">
        <f t="shared" si="42"/>
        <v>F</v>
      </c>
      <c r="O925" s="5" t="str">
        <f t="shared" si="43"/>
        <v>Bachelor</v>
      </c>
    </row>
    <row r="926" spans="1:15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 t="str">
        <f t="shared" si="44"/>
        <v>Arizona</v>
      </c>
      <c r="N926" s="5" t="str">
        <f t="shared" si="42"/>
        <v>M</v>
      </c>
      <c r="O926" s="5" t="str">
        <f t="shared" si="43"/>
        <v>College</v>
      </c>
    </row>
    <row r="927" spans="1:15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 t="str">
        <f t="shared" si="44"/>
        <v>California</v>
      </c>
      <c r="N927" s="5" t="str">
        <f t="shared" si="42"/>
        <v>F</v>
      </c>
      <c r="O927" s="5" t="str">
        <f t="shared" si="43"/>
        <v>College</v>
      </c>
    </row>
    <row r="928" spans="1:15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 t="str">
        <f t="shared" si="44"/>
        <v>Oregon</v>
      </c>
      <c r="N928" s="5" t="str">
        <f t="shared" si="42"/>
        <v>F</v>
      </c>
      <c r="O928" s="5" t="str">
        <f t="shared" si="43"/>
        <v>College</v>
      </c>
    </row>
    <row r="929" spans="1:15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 t="str">
        <f t="shared" si="44"/>
        <v>Nevada</v>
      </c>
      <c r="N929" s="5" t="str">
        <f t="shared" si="42"/>
        <v>M</v>
      </c>
      <c r="O929" s="5" t="str">
        <f t="shared" si="43"/>
        <v>College</v>
      </c>
    </row>
    <row r="930" spans="1:15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 t="str">
        <f t="shared" si="44"/>
        <v>Nevada</v>
      </c>
      <c r="N930" s="5" t="str">
        <f t="shared" si="42"/>
        <v>M</v>
      </c>
      <c r="O930" s="5" t="str">
        <f t="shared" si="43"/>
        <v>High School or Below</v>
      </c>
    </row>
    <row r="931" spans="1:15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 t="str">
        <f t="shared" si="44"/>
        <v>Oregon</v>
      </c>
      <c r="N931" s="5" t="str">
        <f t="shared" si="42"/>
        <v>F</v>
      </c>
      <c r="O931" s="5" t="str">
        <f t="shared" si="43"/>
        <v>High School or Below</v>
      </c>
    </row>
    <row r="932" spans="1:15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 t="str">
        <f t="shared" si="44"/>
        <v>California</v>
      </c>
      <c r="N932" s="5" t="str">
        <f t="shared" si="42"/>
        <v>F</v>
      </c>
      <c r="O932" s="5" t="str">
        <f t="shared" si="43"/>
        <v>Bachelor</v>
      </c>
    </row>
    <row r="933" spans="1:15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 t="str">
        <f t="shared" si="44"/>
        <v>Nevada</v>
      </c>
      <c r="N933" s="5" t="str">
        <f t="shared" si="42"/>
        <v>F</v>
      </c>
      <c r="O933" s="5" t="str">
        <f t="shared" si="43"/>
        <v>Master</v>
      </c>
    </row>
    <row r="934" spans="1:15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 t="str">
        <f t="shared" si="44"/>
        <v>Oregon</v>
      </c>
      <c r="N934" s="5" t="str">
        <f t="shared" si="42"/>
        <v>M</v>
      </c>
      <c r="O934" s="5" t="str">
        <f t="shared" si="43"/>
        <v>Bachelor</v>
      </c>
    </row>
    <row r="935" spans="1:15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 t="str">
        <f t="shared" si="44"/>
        <v>Washington</v>
      </c>
      <c r="N935" s="5" t="str">
        <f t="shared" si="42"/>
        <v>M</v>
      </c>
      <c r="O935" s="5" t="str">
        <f t="shared" si="43"/>
        <v>Master</v>
      </c>
    </row>
    <row r="936" spans="1:15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 t="str">
        <f t="shared" si="44"/>
        <v>Oregon</v>
      </c>
      <c r="N936" s="5" t="str">
        <f t="shared" si="42"/>
        <v>M</v>
      </c>
      <c r="O936" s="5" t="str">
        <f t="shared" si="43"/>
        <v>Bachelor</v>
      </c>
    </row>
    <row r="937" spans="1:15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 t="str">
        <f t="shared" si="44"/>
        <v>California</v>
      </c>
      <c r="N937" s="5" t="str">
        <f t="shared" si="42"/>
        <v>F</v>
      </c>
      <c r="O937" s="5" t="str">
        <f t="shared" si="43"/>
        <v>High School or Below</v>
      </c>
    </row>
    <row r="938" spans="1:15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 t="str">
        <f t="shared" si="44"/>
        <v>Arizona</v>
      </c>
      <c r="N938" s="5" t="str">
        <f t="shared" si="42"/>
        <v>M</v>
      </c>
      <c r="O938" s="5" t="str">
        <f t="shared" si="43"/>
        <v>Bachelor</v>
      </c>
    </row>
    <row r="939" spans="1:15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 t="str">
        <f t="shared" si="44"/>
        <v>California</v>
      </c>
      <c r="N939" s="5" t="str">
        <f t="shared" si="42"/>
        <v>M</v>
      </c>
      <c r="O939" s="5" t="str">
        <f t="shared" si="43"/>
        <v>Master</v>
      </c>
    </row>
    <row r="940" spans="1:15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 t="str">
        <f t="shared" si="44"/>
        <v>Oregon</v>
      </c>
      <c r="N940" s="5" t="str">
        <f t="shared" si="42"/>
        <v>M</v>
      </c>
      <c r="O940" s="5" t="str">
        <f t="shared" si="43"/>
        <v>Bachelor</v>
      </c>
    </row>
    <row r="941" spans="1:15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 t="str">
        <f t="shared" si="44"/>
        <v>California</v>
      </c>
      <c r="N941" s="5" t="str">
        <f t="shared" si="42"/>
        <v>F</v>
      </c>
      <c r="O941" s="5" t="str">
        <f t="shared" si="43"/>
        <v>High School or Below</v>
      </c>
    </row>
    <row r="942" spans="1:15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 t="str">
        <f t="shared" si="44"/>
        <v>Arizona</v>
      </c>
      <c r="N942" s="5" t="str">
        <f t="shared" si="42"/>
        <v>M</v>
      </c>
      <c r="O942" s="5" t="str">
        <f t="shared" si="43"/>
        <v>College</v>
      </c>
    </row>
    <row r="943" spans="1:15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 t="str">
        <f t="shared" si="44"/>
        <v>Oregon</v>
      </c>
      <c r="N943" s="5" t="str">
        <f t="shared" si="42"/>
        <v>F</v>
      </c>
      <c r="O943" s="5" t="str">
        <f t="shared" si="43"/>
        <v>Bachelor</v>
      </c>
    </row>
    <row r="944" spans="1:15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 t="str">
        <f t="shared" si="44"/>
        <v>Washington</v>
      </c>
      <c r="N944" s="5" t="str">
        <f t="shared" si="42"/>
        <v>F</v>
      </c>
      <c r="O944" s="5" t="str">
        <f t="shared" si="43"/>
        <v>College</v>
      </c>
    </row>
    <row r="945" spans="1:15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 t="str">
        <f t="shared" si="44"/>
        <v>Arizona</v>
      </c>
      <c r="N945" s="5" t="str">
        <f t="shared" si="42"/>
        <v>F</v>
      </c>
      <c r="O945" s="5" t="str">
        <f t="shared" si="43"/>
        <v>High School or Below</v>
      </c>
    </row>
    <row r="946" spans="1:15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 t="str">
        <f t="shared" si="44"/>
        <v>Arizona</v>
      </c>
      <c r="N946" s="5" t="str">
        <f t="shared" si="42"/>
        <v>F</v>
      </c>
      <c r="O946" s="5" t="str">
        <f t="shared" si="43"/>
        <v>College</v>
      </c>
    </row>
    <row r="947" spans="1:15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 t="str">
        <f t="shared" si="44"/>
        <v>Oregon</v>
      </c>
      <c r="N947" s="5" t="str">
        <f t="shared" si="42"/>
        <v>M</v>
      </c>
      <c r="O947" s="5" t="str">
        <f t="shared" si="43"/>
        <v>Bachelor</v>
      </c>
    </row>
    <row r="948" spans="1:15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 t="str">
        <f t="shared" si="44"/>
        <v>California</v>
      </c>
      <c r="N948" s="5" t="str">
        <f t="shared" si="42"/>
        <v>F</v>
      </c>
      <c r="O948" s="5" t="str">
        <f t="shared" si="43"/>
        <v>High School or Below</v>
      </c>
    </row>
    <row r="949" spans="1:15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 t="str">
        <f t="shared" si="44"/>
        <v>Arizona</v>
      </c>
      <c r="N949" s="5" t="str">
        <f t="shared" si="42"/>
        <v>M</v>
      </c>
      <c r="O949" s="5" t="str">
        <f t="shared" si="43"/>
        <v>Bachelor</v>
      </c>
    </row>
    <row r="950" spans="1:15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 t="str">
        <f t="shared" si="44"/>
        <v>Arizona</v>
      </c>
      <c r="N950" s="5" t="str">
        <f t="shared" si="42"/>
        <v>F</v>
      </c>
      <c r="O950" s="5" t="str">
        <f t="shared" si="43"/>
        <v>Master</v>
      </c>
    </row>
    <row r="951" spans="1:15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 t="str">
        <f t="shared" si="44"/>
        <v>Oregon</v>
      </c>
      <c r="N951" s="5" t="str">
        <f t="shared" si="42"/>
        <v>F</v>
      </c>
      <c r="O951" s="5" t="str">
        <f t="shared" si="43"/>
        <v>High School or Below</v>
      </c>
    </row>
    <row r="952" spans="1:15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 t="str">
        <f t="shared" si="44"/>
        <v>Oregon</v>
      </c>
      <c r="N952" s="5" t="str">
        <f t="shared" si="42"/>
        <v>F</v>
      </c>
      <c r="O952" s="5" t="str">
        <f t="shared" si="43"/>
        <v>Bachelor</v>
      </c>
    </row>
    <row r="953" spans="1:15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 t="str">
        <f t="shared" si="44"/>
        <v>Arizona</v>
      </c>
      <c r="N953" s="5" t="str">
        <f t="shared" si="42"/>
        <v>F</v>
      </c>
      <c r="O953" s="5" t="str">
        <f t="shared" si="43"/>
        <v>Doctor</v>
      </c>
    </row>
    <row r="954" spans="1:15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 t="str">
        <f t="shared" si="44"/>
        <v>California</v>
      </c>
      <c r="N954" s="5" t="str">
        <f t="shared" si="42"/>
        <v>F</v>
      </c>
      <c r="O954" s="5" t="str">
        <f t="shared" si="43"/>
        <v>College</v>
      </c>
    </row>
    <row r="955" spans="1:15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 t="str">
        <f t="shared" si="44"/>
        <v>Oregon</v>
      </c>
      <c r="N955" s="5" t="str">
        <f t="shared" si="42"/>
        <v>F</v>
      </c>
      <c r="O955" s="5" t="str">
        <f t="shared" si="43"/>
        <v>College</v>
      </c>
    </row>
    <row r="956" spans="1:15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 t="str">
        <f t="shared" si="44"/>
        <v>California</v>
      </c>
      <c r="N956" s="5" t="str">
        <f t="shared" si="42"/>
        <v>M</v>
      </c>
      <c r="O956" s="5" t="str">
        <f t="shared" si="43"/>
        <v>High School or Below</v>
      </c>
    </row>
    <row r="957" spans="1:15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 t="str">
        <f t="shared" si="44"/>
        <v>Arizona</v>
      </c>
      <c r="N957" s="5" t="str">
        <f t="shared" si="42"/>
        <v>F</v>
      </c>
      <c r="O957" s="5" t="str">
        <f t="shared" si="43"/>
        <v>College</v>
      </c>
    </row>
    <row r="958" spans="1:15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 t="str">
        <f t="shared" si="44"/>
        <v>Nevada</v>
      </c>
      <c r="N958" s="5" t="str">
        <f t="shared" si="42"/>
        <v>F</v>
      </c>
      <c r="O958" s="5" t="str">
        <f t="shared" si="43"/>
        <v>Doctor</v>
      </c>
    </row>
    <row r="959" spans="1:15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 t="str">
        <f t="shared" si="44"/>
        <v>Washington</v>
      </c>
      <c r="N959" s="5" t="str">
        <f t="shared" si="42"/>
        <v>F</v>
      </c>
      <c r="O959" s="5" t="str">
        <f t="shared" si="43"/>
        <v>College</v>
      </c>
    </row>
    <row r="960" spans="1:15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 t="str">
        <f t="shared" si="44"/>
        <v>Arizona</v>
      </c>
      <c r="N960" s="5" t="str">
        <f t="shared" si="42"/>
        <v>M</v>
      </c>
      <c r="O960" s="5" t="str">
        <f t="shared" si="43"/>
        <v>Bachelor</v>
      </c>
    </row>
    <row r="961" spans="1:15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 t="str">
        <f t="shared" si="44"/>
        <v>California</v>
      </c>
      <c r="N961" s="5" t="str">
        <f t="shared" si="42"/>
        <v>M</v>
      </c>
      <c r="O961" s="5" t="str">
        <f t="shared" si="43"/>
        <v>College</v>
      </c>
    </row>
    <row r="962" spans="1:15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 t="str">
        <f t="shared" si="44"/>
        <v>California</v>
      </c>
      <c r="N962" s="5" t="str">
        <f t="shared" ref="N962:N1025" si="45">IF(OR(C962="F",C962="Femal",C962="female"),"F",IF(OR(C962="M",C962="Male"),"M","NA"))</f>
        <v>M</v>
      </c>
      <c r="O962" s="5" t="str">
        <f t="shared" ref="O962:O1025" si="46">IF(OR(D962="Bachelor",D962="Bachelors"),"Bachelor",D962)</f>
        <v>High School or Below</v>
      </c>
    </row>
    <row r="963" spans="1:15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 t="str">
        <f t="shared" ref="M963:M1026" si="47">IF(OR(B963="Arizona",B963="AZ"),"Arizona",IF(OR(B963="California",B963="Cali"),"California",IF(B963="Nevada","Nevada",IF(B963="Oregon","Oregon",IF(OR(B963="Washington",B963="WA"),"Washington",B963)))))</f>
        <v>Oregon</v>
      </c>
      <c r="N963" s="5" t="str">
        <f t="shared" si="45"/>
        <v>M</v>
      </c>
      <c r="O963" s="5" t="str">
        <f t="shared" si="46"/>
        <v>High School or Below</v>
      </c>
    </row>
    <row r="964" spans="1:15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 t="str">
        <f t="shared" si="47"/>
        <v>Oregon</v>
      </c>
      <c r="N964" s="5" t="str">
        <f t="shared" si="45"/>
        <v>F</v>
      </c>
      <c r="O964" s="5" t="str">
        <f t="shared" si="46"/>
        <v>Bachelor</v>
      </c>
    </row>
    <row r="965" spans="1:15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 t="str">
        <f t="shared" si="47"/>
        <v>Oregon</v>
      </c>
      <c r="N965" s="5" t="str">
        <f t="shared" si="45"/>
        <v>F</v>
      </c>
      <c r="O965" s="5" t="str">
        <f t="shared" si="46"/>
        <v>High School or Below</v>
      </c>
    </row>
    <row r="966" spans="1:15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 t="str">
        <f t="shared" si="47"/>
        <v>California</v>
      </c>
      <c r="N966" s="5" t="str">
        <f t="shared" si="45"/>
        <v>M</v>
      </c>
      <c r="O966" s="5" t="str">
        <f t="shared" si="46"/>
        <v>High School or Below</v>
      </c>
    </row>
    <row r="967" spans="1:15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 t="str">
        <f t="shared" si="47"/>
        <v>California</v>
      </c>
      <c r="N967" s="5" t="str">
        <f t="shared" si="45"/>
        <v>F</v>
      </c>
      <c r="O967" s="5" t="str">
        <f t="shared" si="46"/>
        <v>Master</v>
      </c>
    </row>
    <row r="968" spans="1:15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 t="str">
        <f t="shared" si="47"/>
        <v>Arizona</v>
      </c>
      <c r="N968" s="5" t="str">
        <f t="shared" si="45"/>
        <v>M</v>
      </c>
      <c r="O968" s="5" t="str">
        <f t="shared" si="46"/>
        <v>Bachelor</v>
      </c>
    </row>
    <row r="969" spans="1:15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 t="str">
        <f t="shared" si="47"/>
        <v>Oregon</v>
      </c>
      <c r="N969" s="5" t="str">
        <f t="shared" si="45"/>
        <v>F</v>
      </c>
      <c r="O969" s="5" t="str">
        <f t="shared" si="46"/>
        <v>College</v>
      </c>
    </row>
    <row r="970" spans="1:15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 t="str">
        <f t="shared" si="47"/>
        <v>California</v>
      </c>
      <c r="N970" s="5" t="str">
        <f t="shared" si="45"/>
        <v>M</v>
      </c>
      <c r="O970" s="5" t="str">
        <f t="shared" si="46"/>
        <v>Bachelor</v>
      </c>
    </row>
    <row r="971" spans="1:15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 t="str">
        <f t="shared" si="47"/>
        <v>Washington</v>
      </c>
      <c r="N971" s="5" t="str">
        <f t="shared" si="45"/>
        <v>F</v>
      </c>
      <c r="O971" s="5" t="str">
        <f t="shared" si="46"/>
        <v>College</v>
      </c>
    </row>
    <row r="972" spans="1:15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 t="str">
        <f t="shared" si="47"/>
        <v>Oregon</v>
      </c>
      <c r="N972" s="5" t="str">
        <f t="shared" si="45"/>
        <v>F</v>
      </c>
      <c r="O972" s="5" t="str">
        <f t="shared" si="46"/>
        <v>College</v>
      </c>
    </row>
    <row r="973" spans="1:15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 t="str">
        <f t="shared" si="47"/>
        <v>Arizona</v>
      </c>
      <c r="N973" s="5" t="str">
        <f t="shared" si="45"/>
        <v>M</v>
      </c>
      <c r="O973" s="5" t="str">
        <f t="shared" si="46"/>
        <v>College</v>
      </c>
    </row>
    <row r="974" spans="1:15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 t="str">
        <f t="shared" si="47"/>
        <v>Nevada</v>
      </c>
      <c r="N974" s="5" t="str">
        <f t="shared" si="45"/>
        <v>M</v>
      </c>
      <c r="O974" s="5" t="str">
        <f t="shared" si="46"/>
        <v>Bachelor</v>
      </c>
    </row>
    <row r="975" spans="1:15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 t="str">
        <f t="shared" si="47"/>
        <v>Nevada</v>
      </c>
      <c r="N975" s="5" t="str">
        <f t="shared" si="45"/>
        <v>F</v>
      </c>
      <c r="O975" s="5" t="str">
        <f t="shared" si="46"/>
        <v>College</v>
      </c>
    </row>
    <row r="976" spans="1:15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 t="str">
        <f t="shared" si="47"/>
        <v>Arizona</v>
      </c>
      <c r="N976" s="5" t="str">
        <f t="shared" si="45"/>
        <v>F</v>
      </c>
      <c r="O976" s="5" t="str">
        <f t="shared" si="46"/>
        <v>High School or Below</v>
      </c>
    </row>
    <row r="977" spans="1:15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 t="str">
        <f t="shared" si="47"/>
        <v>Oregon</v>
      </c>
      <c r="N977" s="5" t="str">
        <f t="shared" si="45"/>
        <v>F</v>
      </c>
      <c r="O977" s="5" t="str">
        <f t="shared" si="46"/>
        <v>Bachelor</v>
      </c>
    </row>
    <row r="978" spans="1:15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 t="str">
        <f t="shared" si="47"/>
        <v>Arizona</v>
      </c>
      <c r="N978" s="5" t="str">
        <f t="shared" si="45"/>
        <v>F</v>
      </c>
      <c r="O978" s="5" t="str">
        <f t="shared" si="46"/>
        <v>High School or Below</v>
      </c>
    </row>
    <row r="979" spans="1:15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 t="str">
        <f t="shared" si="47"/>
        <v>Oregon</v>
      </c>
      <c r="N979" s="5" t="str">
        <f t="shared" si="45"/>
        <v>M</v>
      </c>
      <c r="O979" s="5" t="str">
        <f t="shared" si="46"/>
        <v>High School or Below</v>
      </c>
    </row>
    <row r="980" spans="1:15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 t="str">
        <f t="shared" si="47"/>
        <v>California</v>
      </c>
      <c r="N980" s="5" t="str">
        <f t="shared" si="45"/>
        <v>M</v>
      </c>
      <c r="O980" s="5" t="str">
        <f t="shared" si="46"/>
        <v>Bachelor</v>
      </c>
    </row>
    <row r="981" spans="1:15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 t="str">
        <f t="shared" si="47"/>
        <v>California</v>
      </c>
      <c r="N981" s="5" t="str">
        <f t="shared" si="45"/>
        <v>F</v>
      </c>
      <c r="O981" s="5" t="str">
        <f t="shared" si="46"/>
        <v>High School or Below</v>
      </c>
    </row>
    <row r="982" spans="1:15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 t="str">
        <f t="shared" si="47"/>
        <v>Oregon</v>
      </c>
      <c r="N982" s="5" t="str">
        <f t="shared" si="45"/>
        <v>M</v>
      </c>
      <c r="O982" s="5" t="str">
        <f t="shared" si="46"/>
        <v>Doctor</v>
      </c>
    </row>
    <row r="983" spans="1:15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 t="str">
        <f t="shared" si="47"/>
        <v>Arizona</v>
      </c>
      <c r="N983" s="5" t="str">
        <f t="shared" si="45"/>
        <v>F</v>
      </c>
      <c r="O983" s="5" t="str">
        <f t="shared" si="46"/>
        <v>High School or Below</v>
      </c>
    </row>
    <row r="984" spans="1:15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 t="str">
        <f t="shared" si="47"/>
        <v>California</v>
      </c>
      <c r="N984" s="5" t="str">
        <f t="shared" si="45"/>
        <v>M</v>
      </c>
      <c r="O984" s="5" t="str">
        <f t="shared" si="46"/>
        <v>Bachelor</v>
      </c>
    </row>
    <row r="985" spans="1:15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 t="str">
        <f t="shared" si="47"/>
        <v>California</v>
      </c>
      <c r="N985" s="5" t="str">
        <f t="shared" si="45"/>
        <v>F</v>
      </c>
      <c r="O985" s="5" t="str">
        <f t="shared" si="46"/>
        <v>College</v>
      </c>
    </row>
    <row r="986" spans="1:15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 t="str">
        <f t="shared" si="47"/>
        <v>California</v>
      </c>
      <c r="N986" s="5" t="str">
        <f t="shared" si="45"/>
        <v>M</v>
      </c>
      <c r="O986" s="5" t="str">
        <f t="shared" si="46"/>
        <v>Bachelor</v>
      </c>
    </row>
    <row r="987" spans="1:15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 t="str">
        <f t="shared" si="47"/>
        <v>Oregon</v>
      </c>
      <c r="N987" s="5" t="str">
        <f t="shared" si="45"/>
        <v>M</v>
      </c>
      <c r="O987" s="5" t="str">
        <f t="shared" si="46"/>
        <v>High School or Below</v>
      </c>
    </row>
    <row r="988" spans="1:15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 t="str">
        <f t="shared" si="47"/>
        <v>Arizona</v>
      </c>
      <c r="N988" s="5" t="str">
        <f t="shared" si="45"/>
        <v>M</v>
      </c>
      <c r="O988" s="5" t="str">
        <f t="shared" si="46"/>
        <v>Bachelor</v>
      </c>
    </row>
    <row r="989" spans="1:15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 t="str">
        <f t="shared" si="47"/>
        <v>Oregon</v>
      </c>
      <c r="N989" s="5" t="str">
        <f t="shared" si="45"/>
        <v>F</v>
      </c>
      <c r="O989" s="5" t="str">
        <f t="shared" si="46"/>
        <v>College</v>
      </c>
    </row>
    <row r="990" spans="1:15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 t="str">
        <f t="shared" si="47"/>
        <v>Washington</v>
      </c>
      <c r="N990" s="5" t="str">
        <f t="shared" si="45"/>
        <v>M</v>
      </c>
      <c r="O990" s="5" t="str">
        <f t="shared" si="46"/>
        <v>High School or Below</v>
      </c>
    </row>
    <row r="991" spans="1:15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 t="str">
        <f t="shared" si="47"/>
        <v>Nevada</v>
      </c>
      <c r="N991" s="5" t="str">
        <f t="shared" si="45"/>
        <v>F</v>
      </c>
      <c r="O991" s="5" t="str">
        <f t="shared" si="46"/>
        <v>College</v>
      </c>
    </row>
    <row r="992" spans="1:15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 t="str">
        <f t="shared" si="47"/>
        <v>Arizona</v>
      </c>
      <c r="N992" s="5" t="str">
        <f t="shared" si="45"/>
        <v>F</v>
      </c>
      <c r="O992" s="5" t="str">
        <f t="shared" si="46"/>
        <v>Master</v>
      </c>
    </row>
    <row r="993" spans="1:15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 t="str">
        <f t="shared" si="47"/>
        <v>Oregon</v>
      </c>
      <c r="N993" s="5" t="str">
        <f t="shared" si="45"/>
        <v>F</v>
      </c>
      <c r="O993" s="5" t="str">
        <f t="shared" si="46"/>
        <v>High School or Below</v>
      </c>
    </row>
    <row r="994" spans="1:15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 t="str">
        <f t="shared" si="47"/>
        <v>Arizona</v>
      </c>
      <c r="N994" s="5" t="str">
        <f t="shared" si="45"/>
        <v>M</v>
      </c>
      <c r="O994" s="5" t="str">
        <f t="shared" si="46"/>
        <v>Bachelor</v>
      </c>
    </row>
    <row r="995" spans="1:15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 t="str">
        <f t="shared" si="47"/>
        <v>Arizona</v>
      </c>
      <c r="N995" s="5" t="str">
        <f t="shared" si="45"/>
        <v>M</v>
      </c>
      <c r="O995" s="5" t="str">
        <f t="shared" si="46"/>
        <v>Doctor</v>
      </c>
    </row>
    <row r="996" spans="1:15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 t="str">
        <f t="shared" si="47"/>
        <v>California</v>
      </c>
      <c r="N996" s="5" t="str">
        <f t="shared" si="45"/>
        <v>F</v>
      </c>
      <c r="O996" s="5" t="str">
        <f t="shared" si="46"/>
        <v>Bachelor</v>
      </c>
    </row>
    <row r="997" spans="1:15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 t="str">
        <f t="shared" si="47"/>
        <v>Oregon</v>
      </c>
      <c r="N997" s="5" t="str">
        <f t="shared" si="45"/>
        <v>F</v>
      </c>
      <c r="O997" s="5" t="str">
        <f t="shared" si="46"/>
        <v>High School or Below</v>
      </c>
    </row>
    <row r="998" spans="1:15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 t="str">
        <f t="shared" si="47"/>
        <v>Oregon</v>
      </c>
      <c r="N998" s="5" t="str">
        <f t="shared" si="45"/>
        <v>F</v>
      </c>
      <c r="O998" s="5" t="str">
        <f t="shared" si="46"/>
        <v>Master</v>
      </c>
    </row>
    <row r="999" spans="1:15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 t="str">
        <f t="shared" si="47"/>
        <v>Arizona</v>
      </c>
      <c r="N999" s="5" t="str">
        <f t="shared" si="45"/>
        <v>F</v>
      </c>
      <c r="O999" s="5" t="str">
        <f t="shared" si="46"/>
        <v>College</v>
      </c>
    </row>
    <row r="1000" spans="1:15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 t="str">
        <f t="shared" si="47"/>
        <v>Oregon</v>
      </c>
      <c r="N1000" s="5" t="str">
        <f t="shared" si="45"/>
        <v>M</v>
      </c>
      <c r="O1000" s="5" t="str">
        <f t="shared" si="46"/>
        <v>Bachelor</v>
      </c>
    </row>
    <row r="1001" spans="1:15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 t="str">
        <f t="shared" si="47"/>
        <v>California</v>
      </c>
      <c r="N1001" s="5" t="str">
        <f t="shared" si="45"/>
        <v>M</v>
      </c>
      <c r="O1001" s="5" t="str">
        <f t="shared" si="46"/>
        <v>Doctor</v>
      </c>
    </row>
    <row r="1002" spans="1:15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 t="str">
        <f t="shared" si="47"/>
        <v>Oregon</v>
      </c>
      <c r="N1002" s="5" t="str">
        <f t="shared" si="45"/>
        <v>M</v>
      </c>
      <c r="O1002" s="5" t="str">
        <f t="shared" si="46"/>
        <v>Bachelor</v>
      </c>
    </row>
    <row r="1003" spans="1:15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 t="str">
        <f t="shared" si="47"/>
        <v>California</v>
      </c>
      <c r="N1003" s="5" t="str">
        <f t="shared" si="45"/>
        <v>F</v>
      </c>
      <c r="O1003" s="5" t="str">
        <f t="shared" si="46"/>
        <v>High School or Below</v>
      </c>
    </row>
    <row r="1004" spans="1:15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 t="str">
        <f t="shared" si="47"/>
        <v>Oregon</v>
      </c>
      <c r="N1004" s="5" t="str">
        <f t="shared" si="45"/>
        <v>M</v>
      </c>
      <c r="O1004" s="5" t="str">
        <f t="shared" si="46"/>
        <v>College</v>
      </c>
    </row>
    <row r="1005" spans="1:15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 t="str">
        <f t="shared" si="47"/>
        <v>Nevada</v>
      </c>
      <c r="N1005" s="5" t="str">
        <f t="shared" si="45"/>
        <v>M</v>
      </c>
      <c r="O1005" s="5" t="str">
        <f t="shared" si="46"/>
        <v>Bachelor</v>
      </c>
    </row>
    <row r="1006" spans="1:15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 t="str">
        <f t="shared" si="47"/>
        <v>Arizona</v>
      </c>
      <c r="N1006" s="5" t="str">
        <f t="shared" si="45"/>
        <v>M</v>
      </c>
      <c r="O1006" s="5" t="str">
        <f t="shared" si="46"/>
        <v>High School or Below</v>
      </c>
    </row>
    <row r="1007" spans="1:15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 t="str">
        <f t="shared" si="47"/>
        <v>California</v>
      </c>
      <c r="N1007" s="5" t="str">
        <f t="shared" si="45"/>
        <v>M</v>
      </c>
      <c r="O1007" s="5" t="str">
        <f t="shared" si="46"/>
        <v>Bachelor</v>
      </c>
    </row>
    <row r="1008" spans="1:15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 t="str">
        <f t="shared" si="47"/>
        <v>Nevada</v>
      </c>
      <c r="N1008" s="5" t="str">
        <f t="shared" si="45"/>
        <v>M</v>
      </c>
      <c r="O1008" s="5" t="str">
        <f t="shared" si="46"/>
        <v>High School or Below</v>
      </c>
    </row>
    <row r="1009" spans="1:15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 t="str">
        <f t="shared" si="47"/>
        <v>Arizona</v>
      </c>
      <c r="N1009" s="5" t="str">
        <f t="shared" si="45"/>
        <v>M</v>
      </c>
      <c r="O1009" s="5" t="str">
        <f t="shared" si="46"/>
        <v>College</v>
      </c>
    </row>
    <row r="1010" spans="1:15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 t="str">
        <f t="shared" si="47"/>
        <v>Nevada</v>
      </c>
      <c r="N1010" s="5" t="str">
        <f t="shared" si="45"/>
        <v>F</v>
      </c>
      <c r="O1010" s="5" t="str">
        <f t="shared" si="46"/>
        <v>College</v>
      </c>
    </row>
    <row r="1011" spans="1:15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 t="str">
        <f t="shared" si="47"/>
        <v>Oregon</v>
      </c>
      <c r="N1011" s="5" t="str">
        <f t="shared" si="45"/>
        <v>M</v>
      </c>
      <c r="O1011" s="5" t="str">
        <f t="shared" si="46"/>
        <v>Bachelor</v>
      </c>
    </row>
    <row r="1012" spans="1:15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 t="str">
        <f t="shared" si="47"/>
        <v>California</v>
      </c>
      <c r="N1012" s="5" t="str">
        <f t="shared" si="45"/>
        <v>F</v>
      </c>
      <c r="O1012" s="5" t="str">
        <f t="shared" si="46"/>
        <v>College</v>
      </c>
    </row>
    <row r="1013" spans="1:15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 t="str">
        <f t="shared" si="47"/>
        <v>Oregon</v>
      </c>
      <c r="N1013" s="5" t="str">
        <f t="shared" si="45"/>
        <v>F</v>
      </c>
      <c r="O1013" s="5" t="str">
        <f t="shared" si="46"/>
        <v>Doctor</v>
      </c>
    </row>
    <row r="1014" spans="1:15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 t="str">
        <f t="shared" si="47"/>
        <v>Arizona</v>
      </c>
      <c r="N1014" s="5" t="str">
        <f t="shared" si="45"/>
        <v>M</v>
      </c>
      <c r="O1014" s="5" t="str">
        <f t="shared" si="46"/>
        <v>High School or Below</v>
      </c>
    </row>
    <row r="1015" spans="1:15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 t="str">
        <f t="shared" si="47"/>
        <v>California</v>
      </c>
      <c r="N1015" s="5" t="str">
        <f t="shared" si="45"/>
        <v>F</v>
      </c>
      <c r="O1015" s="5" t="str">
        <f t="shared" si="46"/>
        <v>Bachelor</v>
      </c>
    </row>
    <row r="1016" spans="1:15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 t="str">
        <f t="shared" si="47"/>
        <v>Oregon</v>
      </c>
      <c r="N1016" s="5" t="str">
        <f t="shared" si="45"/>
        <v>F</v>
      </c>
      <c r="O1016" s="5" t="str">
        <f t="shared" si="46"/>
        <v>Bachelor</v>
      </c>
    </row>
    <row r="1017" spans="1:15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 t="str">
        <f t="shared" si="47"/>
        <v>Oregon</v>
      </c>
      <c r="N1017" s="5" t="str">
        <f t="shared" si="45"/>
        <v>F</v>
      </c>
      <c r="O1017" s="5" t="str">
        <f t="shared" si="46"/>
        <v>College</v>
      </c>
    </row>
    <row r="1018" spans="1:15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 t="str">
        <f t="shared" si="47"/>
        <v>California</v>
      </c>
      <c r="N1018" s="5" t="str">
        <f t="shared" si="45"/>
        <v>M</v>
      </c>
      <c r="O1018" s="5" t="str">
        <f t="shared" si="46"/>
        <v>Bachelor</v>
      </c>
    </row>
    <row r="1019" spans="1:15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 t="str">
        <f t="shared" si="47"/>
        <v>California</v>
      </c>
      <c r="N1019" s="5" t="str">
        <f t="shared" si="45"/>
        <v>M</v>
      </c>
      <c r="O1019" s="5" t="str">
        <f t="shared" si="46"/>
        <v>College</v>
      </c>
    </row>
    <row r="1020" spans="1:15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 t="str">
        <f t="shared" si="47"/>
        <v>California</v>
      </c>
      <c r="N1020" s="5" t="str">
        <f t="shared" si="45"/>
        <v>M</v>
      </c>
      <c r="O1020" s="5" t="str">
        <f t="shared" si="46"/>
        <v>High School or Below</v>
      </c>
    </row>
    <row r="1021" spans="1:15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 t="str">
        <f t="shared" si="47"/>
        <v>California</v>
      </c>
      <c r="N1021" s="5" t="str">
        <f t="shared" si="45"/>
        <v>M</v>
      </c>
      <c r="O1021" s="5" t="str">
        <f t="shared" si="46"/>
        <v>Bachelor</v>
      </c>
    </row>
    <row r="1022" spans="1:15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 t="str">
        <f t="shared" si="47"/>
        <v>Oregon</v>
      </c>
      <c r="N1022" s="5" t="str">
        <f t="shared" si="45"/>
        <v>M</v>
      </c>
      <c r="O1022" s="5" t="str">
        <f t="shared" si="46"/>
        <v>College</v>
      </c>
    </row>
    <row r="1023" spans="1:15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 t="str">
        <f t="shared" si="47"/>
        <v>California</v>
      </c>
      <c r="N1023" s="5" t="str">
        <f t="shared" si="45"/>
        <v>M</v>
      </c>
      <c r="O1023" s="5" t="str">
        <f t="shared" si="46"/>
        <v>High School or Below</v>
      </c>
    </row>
    <row r="1024" spans="1:15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 t="str">
        <f t="shared" si="47"/>
        <v>California</v>
      </c>
      <c r="N1024" s="5" t="str">
        <f t="shared" si="45"/>
        <v>M</v>
      </c>
      <c r="O1024" s="5" t="str">
        <f t="shared" si="46"/>
        <v>College</v>
      </c>
    </row>
    <row r="1025" spans="1:15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 t="str">
        <f t="shared" si="47"/>
        <v>California</v>
      </c>
      <c r="N1025" s="5" t="str">
        <f t="shared" si="45"/>
        <v>F</v>
      </c>
      <c r="O1025" s="5" t="str">
        <f t="shared" si="46"/>
        <v>High School or Below</v>
      </c>
    </row>
    <row r="1026" spans="1:15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 t="str">
        <f t="shared" si="47"/>
        <v>Arizona</v>
      </c>
      <c r="N1026" s="5" t="str">
        <f t="shared" ref="N1026:N1072" si="48">IF(OR(C1026="F",C1026="Femal",C1026="female"),"F",IF(OR(C1026="M",C1026="Male"),"M","NA"))</f>
        <v>M</v>
      </c>
      <c r="O1026" s="5" t="str">
        <f t="shared" ref="O1026:O1072" si="49">IF(OR(D1026="Bachelor",D1026="Bachelors"),"Bachelor",D1026)</f>
        <v>Bachelor</v>
      </c>
    </row>
    <row r="1027" spans="1:15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 t="str">
        <f t="shared" ref="M1027:M1072" si="50">IF(OR(B1027="Arizona",B1027="AZ"),"Arizona",IF(OR(B1027="California",B1027="Cali"),"California",IF(B1027="Nevada","Nevada",IF(B1027="Oregon","Oregon",IF(OR(B1027="Washington",B1027="WA"),"Washington",B1027)))))</f>
        <v>Oregon</v>
      </c>
      <c r="N1027" s="5" t="str">
        <f t="shared" si="48"/>
        <v>M</v>
      </c>
      <c r="O1027" s="5" t="str">
        <f t="shared" si="49"/>
        <v>Bachelor</v>
      </c>
    </row>
    <row r="1028" spans="1:15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 t="str">
        <f t="shared" si="50"/>
        <v>Nevada</v>
      </c>
      <c r="N1028" s="5" t="str">
        <f t="shared" si="48"/>
        <v>F</v>
      </c>
      <c r="O1028" s="5" t="str">
        <f t="shared" si="49"/>
        <v>Bachelor</v>
      </c>
    </row>
    <row r="1029" spans="1:15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 t="str">
        <f t="shared" si="50"/>
        <v>Oregon</v>
      </c>
      <c r="N1029" s="5" t="str">
        <f t="shared" si="48"/>
        <v>F</v>
      </c>
      <c r="O1029" s="5" t="str">
        <f t="shared" si="49"/>
        <v>College</v>
      </c>
    </row>
    <row r="1030" spans="1:15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 t="str">
        <f t="shared" si="50"/>
        <v>Washington</v>
      </c>
      <c r="N1030" s="5" t="str">
        <f t="shared" si="48"/>
        <v>F</v>
      </c>
      <c r="O1030" s="5" t="str">
        <f t="shared" si="49"/>
        <v>High School or Below</v>
      </c>
    </row>
    <row r="1031" spans="1:15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 t="str">
        <f t="shared" si="50"/>
        <v>California</v>
      </c>
      <c r="N1031" s="5" t="str">
        <f t="shared" si="48"/>
        <v>F</v>
      </c>
      <c r="O1031" s="5" t="str">
        <f t="shared" si="49"/>
        <v>High School or Below</v>
      </c>
    </row>
    <row r="1032" spans="1:15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 t="str">
        <f t="shared" si="50"/>
        <v>Oregon</v>
      </c>
      <c r="N1032" s="5" t="str">
        <f t="shared" si="48"/>
        <v>F</v>
      </c>
      <c r="O1032" s="5" t="str">
        <f t="shared" si="49"/>
        <v>High School or Below</v>
      </c>
    </row>
    <row r="1033" spans="1:15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 t="str">
        <f t="shared" si="50"/>
        <v>California</v>
      </c>
      <c r="N1033" s="5" t="str">
        <f t="shared" si="48"/>
        <v>M</v>
      </c>
      <c r="O1033" s="5" t="str">
        <f t="shared" si="49"/>
        <v>Bachelor</v>
      </c>
    </row>
    <row r="1034" spans="1:15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 t="str">
        <f t="shared" si="50"/>
        <v>Oregon</v>
      </c>
      <c r="N1034" s="5" t="str">
        <f t="shared" si="48"/>
        <v>F</v>
      </c>
      <c r="O1034" s="5" t="str">
        <f t="shared" si="49"/>
        <v>College</v>
      </c>
    </row>
    <row r="1035" spans="1:15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 t="str">
        <f t="shared" si="50"/>
        <v>Oregon</v>
      </c>
      <c r="N1035" s="5" t="str">
        <f t="shared" si="48"/>
        <v>F</v>
      </c>
      <c r="O1035" s="5" t="str">
        <f t="shared" si="49"/>
        <v>College</v>
      </c>
    </row>
    <row r="1036" spans="1:15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 t="str">
        <f t="shared" si="50"/>
        <v>Oregon</v>
      </c>
      <c r="N1036" s="5" t="str">
        <f t="shared" si="48"/>
        <v>F</v>
      </c>
      <c r="O1036" s="5" t="str">
        <f t="shared" si="49"/>
        <v>Bachelor</v>
      </c>
    </row>
    <row r="1037" spans="1:15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 t="str">
        <f t="shared" si="50"/>
        <v>Washington</v>
      </c>
      <c r="N1037" s="5" t="str">
        <f t="shared" si="48"/>
        <v>F</v>
      </c>
      <c r="O1037" s="5" t="str">
        <f t="shared" si="49"/>
        <v>Master</v>
      </c>
    </row>
    <row r="1038" spans="1:15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 t="str">
        <f t="shared" si="50"/>
        <v>California</v>
      </c>
      <c r="N1038" s="5" t="str">
        <f t="shared" si="48"/>
        <v>F</v>
      </c>
      <c r="O1038" s="5" t="str">
        <f t="shared" si="49"/>
        <v>Bachelor</v>
      </c>
    </row>
    <row r="1039" spans="1:15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 t="str">
        <f t="shared" si="50"/>
        <v>Nevada</v>
      </c>
      <c r="N1039" s="5" t="str">
        <f t="shared" si="48"/>
        <v>F</v>
      </c>
      <c r="O1039" s="5" t="str">
        <f t="shared" si="49"/>
        <v>High School or Below</v>
      </c>
    </row>
    <row r="1040" spans="1:15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 t="str">
        <f t="shared" si="50"/>
        <v>California</v>
      </c>
      <c r="N1040" s="5" t="str">
        <f t="shared" si="48"/>
        <v>F</v>
      </c>
      <c r="O1040" s="5" t="str">
        <f t="shared" si="49"/>
        <v>Bachelor</v>
      </c>
    </row>
    <row r="1041" spans="1:15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 t="str">
        <f t="shared" si="50"/>
        <v>California</v>
      </c>
      <c r="N1041" s="5" t="str">
        <f t="shared" si="48"/>
        <v>F</v>
      </c>
      <c r="O1041" s="5" t="str">
        <f t="shared" si="49"/>
        <v>High School or Below</v>
      </c>
    </row>
    <row r="1042" spans="1:15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 t="str">
        <f t="shared" si="50"/>
        <v>Oregon</v>
      </c>
      <c r="N1042" s="5" t="str">
        <f t="shared" si="48"/>
        <v>M</v>
      </c>
      <c r="O1042" s="5" t="str">
        <f t="shared" si="49"/>
        <v>Bachelor</v>
      </c>
    </row>
    <row r="1043" spans="1:15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 t="str">
        <f t="shared" si="50"/>
        <v>Washington</v>
      </c>
      <c r="N1043" s="5" t="str">
        <f t="shared" si="48"/>
        <v>F</v>
      </c>
      <c r="O1043" s="5" t="str">
        <f t="shared" si="49"/>
        <v>Bachelor</v>
      </c>
    </row>
    <row r="1044" spans="1:15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 t="str">
        <f t="shared" si="50"/>
        <v>Arizona</v>
      </c>
      <c r="N1044" s="5" t="str">
        <f t="shared" si="48"/>
        <v>F</v>
      </c>
      <c r="O1044" s="5" t="str">
        <f t="shared" si="49"/>
        <v>High School or Below</v>
      </c>
    </row>
    <row r="1045" spans="1:15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 t="str">
        <f t="shared" si="50"/>
        <v>Arizona</v>
      </c>
      <c r="N1045" s="5" t="str">
        <f t="shared" si="48"/>
        <v>F</v>
      </c>
      <c r="O1045" s="5" t="str">
        <f t="shared" si="49"/>
        <v>High School or Below</v>
      </c>
    </row>
    <row r="1046" spans="1:15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 t="str">
        <f t="shared" si="50"/>
        <v>Arizona</v>
      </c>
      <c r="N1046" s="5" t="str">
        <f t="shared" si="48"/>
        <v>M</v>
      </c>
      <c r="O1046" s="5" t="str">
        <f t="shared" si="49"/>
        <v>College</v>
      </c>
    </row>
    <row r="1047" spans="1:15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 t="str">
        <f t="shared" si="50"/>
        <v>Oregon</v>
      </c>
      <c r="N1047" s="5" t="str">
        <f t="shared" si="48"/>
        <v>F</v>
      </c>
      <c r="O1047" s="5" t="str">
        <f t="shared" si="49"/>
        <v>Bachelor</v>
      </c>
    </row>
    <row r="1048" spans="1:15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 t="str">
        <f t="shared" si="50"/>
        <v>Oregon</v>
      </c>
      <c r="N1048" s="5" t="str">
        <f t="shared" si="48"/>
        <v>F</v>
      </c>
      <c r="O1048" s="5" t="str">
        <f t="shared" si="49"/>
        <v>College</v>
      </c>
    </row>
    <row r="1049" spans="1:15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 t="str">
        <f t="shared" si="50"/>
        <v>Oregon</v>
      </c>
      <c r="N1049" s="5" t="str">
        <f t="shared" si="48"/>
        <v>F</v>
      </c>
      <c r="O1049" s="5" t="str">
        <f t="shared" si="49"/>
        <v>High School or Below</v>
      </c>
    </row>
    <row r="1050" spans="1:15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 t="str">
        <f t="shared" si="50"/>
        <v>Arizona</v>
      </c>
      <c r="N1050" s="5" t="str">
        <f t="shared" si="48"/>
        <v>F</v>
      </c>
      <c r="O1050" s="5" t="str">
        <f t="shared" si="49"/>
        <v>College</v>
      </c>
    </row>
    <row r="1051" spans="1:15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 t="str">
        <f t="shared" si="50"/>
        <v>California</v>
      </c>
      <c r="N1051" s="5" t="str">
        <f t="shared" si="48"/>
        <v>F</v>
      </c>
      <c r="O1051" s="5" t="str">
        <f t="shared" si="49"/>
        <v>High School or Below</v>
      </c>
    </row>
    <row r="1052" spans="1:15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 t="str">
        <f t="shared" si="50"/>
        <v>Arizona</v>
      </c>
      <c r="N1052" s="5" t="str">
        <f t="shared" si="48"/>
        <v>M</v>
      </c>
      <c r="O1052" s="5" t="str">
        <f t="shared" si="49"/>
        <v>High School or Below</v>
      </c>
    </row>
    <row r="1053" spans="1:15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 t="str">
        <f t="shared" si="50"/>
        <v>Oregon</v>
      </c>
      <c r="N1053" s="5" t="str">
        <f t="shared" si="48"/>
        <v>F</v>
      </c>
      <c r="O1053" s="5" t="str">
        <f t="shared" si="49"/>
        <v>Bachelor</v>
      </c>
    </row>
    <row r="1054" spans="1:15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 t="str">
        <f t="shared" si="50"/>
        <v>Oregon</v>
      </c>
      <c r="N1054" s="5" t="str">
        <f t="shared" si="48"/>
        <v>M</v>
      </c>
      <c r="O1054" s="5" t="str">
        <f t="shared" si="49"/>
        <v>High School or Below</v>
      </c>
    </row>
    <row r="1055" spans="1:15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 t="str">
        <f t="shared" si="50"/>
        <v>Nevada</v>
      </c>
      <c r="N1055" s="5" t="str">
        <f t="shared" si="48"/>
        <v>F</v>
      </c>
      <c r="O1055" s="5" t="str">
        <f t="shared" si="49"/>
        <v>Bachelor</v>
      </c>
    </row>
    <row r="1056" spans="1:15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 t="str">
        <f t="shared" si="50"/>
        <v>Washington</v>
      </c>
      <c r="N1056" s="5" t="str">
        <f t="shared" si="48"/>
        <v>F</v>
      </c>
      <c r="O1056" s="5" t="str">
        <f t="shared" si="49"/>
        <v>Bachelor</v>
      </c>
    </row>
    <row r="1057" spans="1:15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 t="str">
        <f t="shared" si="50"/>
        <v>Oregon</v>
      </c>
      <c r="N1057" s="5" t="str">
        <f t="shared" si="48"/>
        <v>M</v>
      </c>
      <c r="O1057" s="5" t="str">
        <f t="shared" si="49"/>
        <v>High School or Below</v>
      </c>
    </row>
    <row r="1058" spans="1:15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 t="str">
        <f t="shared" si="50"/>
        <v>Oregon</v>
      </c>
      <c r="N1058" s="5" t="str">
        <f t="shared" si="48"/>
        <v>F</v>
      </c>
      <c r="O1058" s="5" t="str">
        <f t="shared" si="49"/>
        <v>Bachelor</v>
      </c>
    </row>
    <row r="1059" spans="1:15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 t="str">
        <f t="shared" si="50"/>
        <v>California</v>
      </c>
      <c r="N1059" s="5" t="str">
        <f t="shared" si="48"/>
        <v>M</v>
      </c>
      <c r="O1059" s="5" t="str">
        <f t="shared" si="49"/>
        <v>College</v>
      </c>
    </row>
    <row r="1060" spans="1:15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 t="str">
        <f t="shared" si="50"/>
        <v>Oregon</v>
      </c>
      <c r="N1060" s="5" t="str">
        <f t="shared" si="48"/>
        <v>M</v>
      </c>
      <c r="O1060" s="5" t="str">
        <f t="shared" si="49"/>
        <v>High School or Below</v>
      </c>
    </row>
    <row r="1061" spans="1:15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 t="str">
        <f t="shared" si="50"/>
        <v>Oregon</v>
      </c>
      <c r="N1061" s="5" t="str">
        <f t="shared" si="48"/>
        <v>M</v>
      </c>
      <c r="O1061" s="5" t="str">
        <f t="shared" si="49"/>
        <v>College</v>
      </c>
    </row>
    <row r="1062" spans="1:15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 t="str">
        <f t="shared" si="50"/>
        <v>Oregon</v>
      </c>
      <c r="N1062" s="5" t="str">
        <f t="shared" si="48"/>
        <v>M</v>
      </c>
      <c r="O1062" s="5" t="str">
        <f t="shared" si="49"/>
        <v>College</v>
      </c>
    </row>
    <row r="1063" spans="1:15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 t="str">
        <f t="shared" si="50"/>
        <v>California</v>
      </c>
      <c r="N1063" s="5" t="str">
        <f t="shared" si="48"/>
        <v>F</v>
      </c>
      <c r="O1063" s="5" t="str">
        <f t="shared" si="49"/>
        <v>Bachelor</v>
      </c>
    </row>
    <row r="1064" spans="1:15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 t="str">
        <f t="shared" si="50"/>
        <v>Arizona</v>
      </c>
      <c r="N1064" s="5" t="str">
        <f t="shared" si="48"/>
        <v>F</v>
      </c>
      <c r="O1064" s="5" t="str">
        <f t="shared" si="49"/>
        <v>High School or Below</v>
      </c>
    </row>
    <row r="1065" spans="1:15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 t="str">
        <f t="shared" si="50"/>
        <v>California</v>
      </c>
      <c r="N1065" s="5" t="str">
        <f t="shared" si="48"/>
        <v>M</v>
      </c>
      <c r="O1065" s="5" t="str">
        <f t="shared" si="49"/>
        <v>College</v>
      </c>
    </row>
    <row r="1066" spans="1:15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 t="str">
        <f t="shared" si="50"/>
        <v>Washington</v>
      </c>
      <c r="N1066" s="5" t="str">
        <f t="shared" si="48"/>
        <v>F</v>
      </c>
      <c r="O1066" s="5" t="str">
        <f t="shared" si="49"/>
        <v>Bachelor</v>
      </c>
    </row>
    <row r="1067" spans="1:15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 t="str">
        <f t="shared" si="50"/>
        <v>California</v>
      </c>
      <c r="N1067" s="5" t="str">
        <f t="shared" si="48"/>
        <v>M</v>
      </c>
      <c r="O1067" s="5" t="str">
        <f t="shared" si="49"/>
        <v>Bachelor</v>
      </c>
    </row>
    <row r="1068" spans="1:15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 t="str">
        <f t="shared" si="50"/>
        <v>Oregon</v>
      </c>
      <c r="N1068" s="5" t="str">
        <f t="shared" si="48"/>
        <v>M</v>
      </c>
      <c r="O1068" s="5" t="str">
        <f t="shared" si="49"/>
        <v>Master</v>
      </c>
    </row>
    <row r="1069" spans="1:15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 t="str">
        <f t="shared" si="50"/>
        <v>California</v>
      </c>
      <c r="N1069" s="5" t="str">
        <f t="shared" si="48"/>
        <v>F</v>
      </c>
      <c r="O1069" s="5" t="str">
        <f t="shared" si="49"/>
        <v>High School or Below</v>
      </c>
    </row>
    <row r="1070" spans="1:15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 t="str">
        <f t="shared" si="50"/>
        <v>Arizona</v>
      </c>
      <c r="N1070" s="5" t="str">
        <f t="shared" si="48"/>
        <v>F</v>
      </c>
      <c r="O1070" s="5" t="str">
        <f t="shared" si="49"/>
        <v>Bachelor</v>
      </c>
    </row>
    <row r="1071" spans="1:15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 t="str">
        <f t="shared" si="50"/>
        <v>California</v>
      </c>
      <c r="N1071" s="5" t="str">
        <f t="shared" si="48"/>
        <v>F</v>
      </c>
      <c r="O1071" s="5" t="str">
        <f t="shared" si="49"/>
        <v>Master</v>
      </c>
    </row>
    <row r="1072" spans="1:15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 t="str">
        <f t="shared" si="50"/>
        <v>California</v>
      </c>
      <c r="N1072" s="5" t="str">
        <f t="shared" si="48"/>
        <v>F</v>
      </c>
      <c r="O1072" s="5" t="str">
        <f t="shared" si="49"/>
        <v>College</v>
      </c>
    </row>
  </sheetData>
  <autoFilter ref="A1:O1" xr:uid="{3509AF15-976F-4FCD-9F65-3ECA38D457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2"/>
  <sheetViews>
    <sheetView zoomScale="80" zoomScaleNormal="80" workbookViewId="0">
      <selection sqref="A1:N1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726562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27.1796875" bestFit="1" customWidth="1"/>
    <col min="14" max="14" width="23.08984375" bestFit="1" customWidth="1"/>
  </cols>
  <sheetData>
    <row r="1" spans="1:14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3" t="s">
        <v>9191</v>
      </c>
      <c r="N1" s="13" t="s">
        <v>9192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7" t="s">
        <v>9193</v>
      </c>
      <c r="I2" t="s">
        <v>16</v>
      </c>
      <c r="J2" t="s">
        <v>17</v>
      </c>
      <c r="K2">
        <v>2.7049340000000002</v>
      </c>
      <c r="L2" s="2">
        <v>35002.704934000001</v>
      </c>
      <c r="M2" s="6">
        <f>VALUE(TEXT(E2,"0.00"))</f>
        <v>0</v>
      </c>
      <c r="N2" s="8">
        <f>VALUE(TEXT(K2,"0.00"))</f>
        <v>3</v>
      </c>
    </row>
    <row r="3" spans="1:14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7">
        <v>0</v>
      </c>
      <c r="I3" t="s">
        <v>16</v>
      </c>
      <c r="J3" t="s">
        <v>17</v>
      </c>
      <c r="K3">
        <v>1131.464935</v>
      </c>
      <c r="L3" s="2">
        <v>36131.464934999996</v>
      </c>
      <c r="M3" s="6">
        <f>VALUE(TEXT(E3,"0.00"))</f>
        <v>697954</v>
      </c>
      <c r="N3" s="8">
        <f t="shared" ref="N3:N66" si="0">VALUE(TEXT(K3,"0.00"))</f>
        <v>1131</v>
      </c>
    </row>
    <row r="4" spans="1:14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7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6">
        <f t="shared" ref="M3:M66" si="1">VALUE(TEXT(E4,"0.00"))</f>
        <v>1288743</v>
      </c>
      <c r="N4" s="8">
        <f t="shared" si="0"/>
        <v>566</v>
      </c>
    </row>
    <row r="5" spans="1:14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7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6">
        <f t="shared" si="1"/>
        <v>764586</v>
      </c>
      <c r="N5" s="8">
        <f t="shared" si="0"/>
        <v>530</v>
      </c>
    </row>
    <row r="6" spans="1:14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7">
        <v>0</v>
      </c>
      <c r="I6" t="s">
        <v>16</v>
      </c>
      <c r="J6" t="s">
        <v>17</v>
      </c>
      <c r="K6">
        <v>17.269323</v>
      </c>
      <c r="L6" s="2">
        <v>35017.269323</v>
      </c>
      <c r="M6" s="6">
        <f t="shared" si="1"/>
        <v>536308</v>
      </c>
      <c r="N6" s="8">
        <f t="shared" si="0"/>
        <v>17</v>
      </c>
    </row>
    <row r="7" spans="1:14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7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6">
        <f t="shared" si="1"/>
        <v>825630</v>
      </c>
      <c r="N7" s="8">
        <f t="shared" si="0"/>
        <v>159</v>
      </c>
    </row>
    <row r="8" spans="1:14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7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6">
        <f t="shared" si="1"/>
        <v>538090</v>
      </c>
      <c r="N8" s="8">
        <f t="shared" si="0"/>
        <v>322</v>
      </c>
    </row>
    <row r="9" spans="1:14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7">
        <v>0</v>
      </c>
      <c r="I9" t="s">
        <v>28</v>
      </c>
      <c r="J9" t="s">
        <v>17</v>
      </c>
      <c r="K9">
        <v>363.02967999999998</v>
      </c>
      <c r="L9" s="2">
        <v>35363.02968</v>
      </c>
      <c r="M9" s="6">
        <f t="shared" si="1"/>
        <v>721610</v>
      </c>
      <c r="N9" s="8">
        <f t="shared" si="0"/>
        <v>363</v>
      </c>
    </row>
    <row r="10" spans="1:14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7">
        <v>0</v>
      </c>
      <c r="I10" t="s">
        <v>28</v>
      </c>
      <c r="J10" t="s">
        <v>17</v>
      </c>
      <c r="K10">
        <v>511.2</v>
      </c>
      <c r="L10" s="2">
        <v>35511.199999999997</v>
      </c>
      <c r="M10" s="6">
        <f t="shared" si="1"/>
        <v>2412750</v>
      </c>
      <c r="N10" s="8">
        <f t="shared" si="0"/>
        <v>511</v>
      </c>
    </row>
    <row r="11" spans="1:14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7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6">
        <f t="shared" si="1"/>
        <v>738818</v>
      </c>
      <c r="N11" s="8">
        <f t="shared" si="0"/>
        <v>426</v>
      </c>
    </row>
    <row r="12" spans="1:14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7">
        <v>0</v>
      </c>
      <c r="I12" t="s">
        <v>16</v>
      </c>
      <c r="J12" t="s">
        <v>17</v>
      </c>
      <c r="K12">
        <v>482.4</v>
      </c>
      <c r="L12" s="2">
        <v>35482.400000000001</v>
      </c>
      <c r="M12" s="6">
        <f t="shared" si="1"/>
        <v>473899</v>
      </c>
      <c r="N12" s="8">
        <f t="shared" si="0"/>
        <v>482</v>
      </c>
    </row>
    <row r="13" spans="1:14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7">
        <v>0</v>
      </c>
      <c r="I13" t="s">
        <v>16</v>
      </c>
      <c r="J13" t="s">
        <v>29</v>
      </c>
      <c r="K13">
        <v>528</v>
      </c>
      <c r="L13" s="2">
        <v>35528</v>
      </c>
      <c r="M13" s="6">
        <f t="shared" si="1"/>
        <v>819720</v>
      </c>
      <c r="N13" s="8">
        <f t="shared" si="0"/>
        <v>528</v>
      </c>
    </row>
    <row r="14" spans="1:14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7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6">
        <f t="shared" si="1"/>
        <v>879880</v>
      </c>
      <c r="N14" s="8">
        <f t="shared" si="0"/>
        <v>472</v>
      </c>
    </row>
    <row r="15" spans="1:14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7">
        <v>36526</v>
      </c>
      <c r="I15" t="s">
        <v>28</v>
      </c>
      <c r="J15" t="s">
        <v>29</v>
      </c>
      <c r="K15">
        <v>528</v>
      </c>
      <c r="L15" s="2">
        <v>35528</v>
      </c>
      <c r="M15" s="6">
        <f t="shared" si="1"/>
        <v>881902</v>
      </c>
      <c r="N15" s="8">
        <f t="shared" si="0"/>
        <v>528</v>
      </c>
    </row>
    <row r="16" spans="1:14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7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6">
        <f t="shared" si="1"/>
        <v>538443</v>
      </c>
      <c r="N16" s="8">
        <f t="shared" si="0"/>
        <v>307</v>
      </c>
    </row>
    <row r="17" spans="1:14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7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6">
        <f t="shared" si="1"/>
        <v>746314</v>
      </c>
      <c r="N17" s="8">
        <f t="shared" si="0"/>
        <v>43</v>
      </c>
    </row>
    <row r="18" spans="1:14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7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6">
        <f t="shared" si="1"/>
        <v>256687</v>
      </c>
      <c r="N18" s="8">
        <f t="shared" si="0"/>
        <v>454</v>
      </c>
    </row>
    <row r="19" spans="1:14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7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6">
        <f t="shared" si="1"/>
        <v>394524</v>
      </c>
      <c r="N19" s="8">
        <f t="shared" si="0"/>
        <v>647</v>
      </c>
    </row>
    <row r="20" spans="1:14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7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6">
        <f t="shared" si="1"/>
        <v>571033</v>
      </c>
      <c r="N20" s="8">
        <f t="shared" si="0"/>
        <v>309</v>
      </c>
    </row>
    <row r="21" spans="1:14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7">
        <v>0</v>
      </c>
      <c r="I21" t="s">
        <v>28</v>
      </c>
      <c r="J21" t="s">
        <v>17</v>
      </c>
      <c r="K21">
        <v>484.8</v>
      </c>
      <c r="L21" s="2">
        <v>35484.800000000003</v>
      </c>
      <c r="M21" s="6">
        <f t="shared" si="1"/>
        <v>816262</v>
      </c>
      <c r="N21" s="8">
        <f t="shared" si="0"/>
        <v>485</v>
      </c>
    </row>
    <row r="22" spans="1:14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7">
        <v>0</v>
      </c>
      <c r="I22" t="s">
        <v>16</v>
      </c>
      <c r="J22" t="s">
        <v>24</v>
      </c>
      <c r="K22">
        <v>355.2</v>
      </c>
      <c r="L22" s="2">
        <v>35355.199999999997</v>
      </c>
      <c r="M22" s="6">
        <f t="shared" si="1"/>
        <v>287205</v>
      </c>
      <c r="N22" s="8">
        <f t="shared" si="0"/>
        <v>355</v>
      </c>
    </row>
    <row r="23" spans="1:14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7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6">
        <f t="shared" si="1"/>
        <v>617711</v>
      </c>
      <c r="N23" s="8">
        <f t="shared" si="0"/>
        <v>20</v>
      </c>
    </row>
    <row r="24" spans="1:14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7">
        <v>0</v>
      </c>
      <c r="I24" t="s">
        <v>16</v>
      </c>
      <c r="J24" t="s">
        <v>17</v>
      </c>
      <c r="K24">
        <v>511.2</v>
      </c>
      <c r="L24" s="2">
        <v>35511.199999999997</v>
      </c>
      <c r="M24" s="6">
        <f t="shared" si="1"/>
        <v>2412750</v>
      </c>
      <c r="N24" s="8">
        <f t="shared" si="0"/>
        <v>511</v>
      </c>
    </row>
    <row r="25" spans="1:14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7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6">
        <f t="shared" si="1"/>
        <v>245019</v>
      </c>
      <c r="N25" s="8">
        <f t="shared" si="0"/>
        <v>554</v>
      </c>
    </row>
    <row r="26" spans="1:14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7">
        <v>0</v>
      </c>
      <c r="I26" t="s">
        <v>28</v>
      </c>
      <c r="J26" t="s">
        <v>17</v>
      </c>
      <c r="K26">
        <v>439.2</v>
      </c>
      <c r="L26" s="2">
        <v>35439.199999999997</v>
      </c>
      <c r="M26" s="6">
        <f t="shared" si="1"/>
        <v>239211</v>
      </c>
      <c r="N26" s="8">
        <f t="shared" si="0"/>
        <v>439</v>
      </c>
    </row>
    <row r="27" spans="1:14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7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6">
        <f t="shared" si="1"/>
        <v>580207</v>
      </c>
      <c r="N27" s="8">
        <f t="shared" si="0"/>
        <v>389</v>
      </c>
    </row>
    <row r="28" spans="1:14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7">
        <v>0</v>
      </c>
      <c r="I28" t="s">
        <v>16</v>
      </c>
      <c r="J28" t="s">
        <v>17</v>
      </c>
      <c r="K28">
        <v>799.2</v>
      </c>
      <c r="L28" s="2">
        <v>35799.199999999997</v>
      </c>
      <c r="M28" s="6">
        <f t="shared" si="1"/>
        <v>394637</v>
      </c>
      <c r="N28" s="8">
        <f t="shared" si="0"/>
        <v>799</v>
      </c>
    </row>
    <row r="29" spans="1:14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7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6">
        <f t="shared" si="1"/>
        <v>916206</v>
      </c>
      <c r="N29" s="8">
        <f t="shared" si="0"/>
        <v>21</v>
      </c>
    </row>
    <row r="30" spans="1:14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7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6">
        <f t="shared" si="1"/>
        <v>1290256</v>
      </c>
      <c r="N30" s="8">
        <f t="shared" si="0"/>
        <v>533</v>
      </c>
    </row>
    <row r="31" spans="1:14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7">
        <v>36526</v>
      </c>
      <c r="I31" t="s">
        <v>16</v>
      </c>
      <c r="J31" t="s">
        <v>17</v>
      </c>
      <c r="K31">
        <v>384</v>
      </c>
      <c r="L31" s="2">
        <v>35384</v>
      </c>
      <c r="M31" s="6">
        <f t="shared" si="1"/>
        <v>323536</v>
      </c>
      <c r="N31" s="8">
        <f t="shared" si="0"/>
        <v>384</v>
      </c>
    </row>
    <row r="32" spans="1:14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7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6">
        <f t="shared" si="1"/>
        <v>245458</v>
      </c>
      <c r="N32" s="8">
        <f t="shared" si="0"/>
        <v>322</v>
      </c>
    </row>
    <row r="33" spans="1:14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7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6">
        <f t="shared" si="1"/>
        <v>1897546</v>
      </c>
      <c r="N33" s="8">
        <f t="shared" si="0"/>
        <v>616</v>
      </c>
    </row>
    <row r="34" spans="1:14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7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6">
        <f t="shared" si="1"/>
        <v>471532</v>
      </c>
      <c r="N34" s="8">
        <f t="shared" si="0"/>
        <v>308</v>
      </c>
    </row>
    <row r="35" spans="1:14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7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6">
        <f t="shared" si="1"/>
        <v>473787</v>
      </c>
      <c r="N35" s="8">
        <f t="shared" si="0"/>
        <v>24</v>
      </c>
    </row>
    <row r="36" spans="1:14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7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6">
        <f t="shared" si="1"/>
        <v>493292</v>
      </c>
      <c r="N36" s="8">
        <f t="shared" si="0"/>
        <v>15</v>
      </c>
    </row>
    <row r="37" spans="1:14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7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6">
        <f t="shared" si="1"/>
        <v>574423</v>
      </c>
      <c r="N37" s="8">
        <f t="shared" si="0"/>
        <v>204</v>
      </c>
    </row>
    <row r="38" spans="1:14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7">
        <v>0</v>
      </c>
      <c r="I38" t="s">
        <v>16</v>
      </c>
      <c r="J38" t="s">
        <v>17</v>
      </c>
      <c r="K38">
        <v>561.6</v>
      </c>
      <c r="L38" s="2">
        <v>35561.599999999999</v>
      </c>
      <c r="M38" s="6">
        <f t="shared" si="1"/>
        <v>1389174</v>
      </c>
      <c r="N38" s="8">
        <f t="shared" si="0"/>
        <v>562</v>
      </c>
    </row>
    <row r="39" spans="1:14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7">
        <v>0</v>
      </c>
      <c r="I39" t="s">
        <v>16</v>
      </c>
      <c r="J39" t="s">
        <v>17</v>
      </c>
      <c r="K39">
        <v>436.8</v>
      </c>
      <c r="L39" s="2">
        <v>35436.800000000003</v>
      </c>
      <c r="M39" s="6">
        <f t="shared" si="1"/>
        <v>738098</v>
      </c>
      <c r="N39" s="8">
        <f t="shared" si="0"/>
        <v>437</v>
      </c>
    </row>
    <row r="40" spans="1:14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7">
        <v>0</v>
      </c>
      <c r="I40" t="s">
        <v>16</v>
      </c>
      <c r="J40" t="s">
        <v>24</v>
      </c>
      <c r="K40">
        <v>648</v>
      </c>
      <c r="L40" s="2">
        <v>35648</v>
      </c>
      <c r="M40" s="6">
        <f t="shared" si="1"/>
        <v>309003</v>
      </c>
      <c r="N40" s="8">
        <f t="shared" si="0"/>
        <v>648</v>
      </c>
    </row>
    <row r="41" spans="1:14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7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6">
        <f t="shared" si="1"/>
        <v>252163</v>
      </c>
      <c r="N41" s="8">
        <f t="shared" si="0"/>
        <v>157</v>
      </c>
    </row>
    <row r="42" spans="1:14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7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6">
        <f t="shared" si="1"/>
        <v>265206</v>
      </c>
      <c r="N42" s="8">
        <f t="shared" si="0"/>
        <v>484</v>
      </c>
    </row>
    <row r="43" spans="1:14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7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6">
        <f t="shared" si="1"/>
        <v>277105</v>
      </c>
      <c r="N43" s="8">
        <f t="shared" si="0"/>
        <v>19</v>
      </c>
    </row>
    <row r="44" spans="1:14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7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6">
        <f t="shared" si="1"/>
        <v>393901</v>
      </c>
      <c r="N44" s="8">
        <f t="shared" si="0"/>
        <v>883</v>
      </c>
    </row>
    <row r="45" spans="1:14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7">
        <v>0</v>
      </c>
      <c r="I45" t="s">
        <v>16</v>
      </c>
      <c r="J45" t="s">
        <v>78</v>
      </c>
      <c r="K45">
        <v>494.4</v>
      </c>
      <c r="L45" s="2">
        <v>35494.400000000001</v>
      </c>
      <c r="M45" s="6">
        <f t="shared" si="1"/>
        <v>1223188</v>
      </c>
      <c r="N45" s="8">
        <f t="shared" si="0"/>
        <v>494</v>
      </c>
    </row>
    <row r="46" spans="1:14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7">
        <v>36526</v>
      </c>
      <c r="I46" t="s">
        <v>16</v>
      </c>
      <c r="J46" t="s">
        <v>17</v>
      </c>
      <c r="K46">
        <v>31.707317</v>
      </c>
      <c r="L46" s="2">
        <v>35031.707317</v>
      </c>
      <c r="M46" s="6">
        <f t="shared" si="1"/>
        <v>495166</v>
      </c>
      <c r="N46" s="8">
        <f t="shared" si="0"/>
        <v>32</v>
      </c>
    </row>
    <row r="47" spans="1:14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7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6">
        <f t="shared" si="1"/>
        <v>1281910</v>
      </c>
      <c r="N47" s="8">
        <f t="shared" si="0"/>
        <v>1</v>
      </c>
    </row>
    <row r="48" spans="1:14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7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6">
        <f t="shared" si="1"/>
        <v>446851</v>
      </c>
      <c r="N48" s="8">
        <f t="shared" si="0"/>
        <v>579</v>
      </c>
    </row>
    <row r="49" spans="1:14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7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6">
        <f t="shared" si="1"/>
        <v>551434</v>
      </c>
      <c r="N49" s="8">
        <f t="shared" si="0"/>
        <v>448</v>
      </c>
    </row>
    <row r="50" spans="1:14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7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6">
        <f t="shared" si="1"/>
        <v>334388</v>
      </c>
      <c r="N50" s="8">
        <f t="shared" si="0"/>
        <v>530</v>
      </c>
    </row>
    <row r="51" spans="1:14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7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6">
        <f t="shared" si="1"/>
        <v>229448</v>
      </c>
      <c r="N51" s="8">
        <f t="shared" si="0"/>
        <v>313</v>
      </c>
    </row>
    <row r="52" spans="1:14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7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6">
        <f t="shared" si="1"/>
        <v>3670743</v>
      </c>
      <c r="N52" s="8">
        <f t="shared" si="0"/>
        <v>594</v>
      </c>
    </row>
    <row r="53" spans="1:14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7">
        <v>0</v>
      </c>
      <c r="I53" t="s">
        <v>28</v>
      </c>
      <c r="J53" t="s">
        <v>29</v>
      </c>
      <c r="K53">
        <v>508.8</v>
      </c>
      <c r="L53" s="2">
        <v>35508.800000000003</v>
      </c>
      <c r="M53" s="6">
        <f t="shared" si="1"/>
        <v>3347335</v>
      </c>
      <c r="N53" s="8">
        <f t="shared" si="0"/>
        <v>509</v>
      </c>
    </row>
    <row r="54" spans="1:14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7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6">
        <f t="shared" si="1"/>
        <v>798343</v>
      </c>
      <c r="N54" s="8">
        <f t="shared" si="0"/>
        <v>174</v>
      </c>
    </row>
    <row r="55" spans="1:14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7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6">
        <f t="shared" si="1"/>
        <v>487938</v>
      </c>
      <c r="N55" s="8">
        <f t="shared" si="0"/>
        <v>33</v>
      </c>
    </row>
    <row r="56" spans="1:14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7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6">
        <f t="shared" si="1"/>
        <v>429400</v>
      </c>
      <c r="N56" s="8">
        <f t="shared" si="0"/>
        <v>832</v>
      </c>
    </row>
    <row r="57" spans="1:14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7">
        <v>0</v>
      </c>
      <c r="I57" t="s">
        <v>28</v>
      </c>
      <c r="J57" t="s">
        <v>17</v>
      </c>
      <c r="K57">
        <v>436.8</v>
      </c>
      <c r="L57" s="2">
        <v>35436.800000000003</v>
      </c>
      <c r="M57" s="6">
        <f t="shared" si="1"/>
        <v>716440</v>
      </c>
      <c r="N57" s="8">
        <f t="shared" si="0"/>
        <v>437</v>
      </c>
    </row>
    <row r="58" spans="1:14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7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6">
        <f t="shared" si="1"/>
        <v>761952</v>
      </c>
      <c r="N58" s="8">
        <f t="shared" si="0"/>
        <v>303</v>
      </c>
    </row>
    <row r="59" spans="1:14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7">
        <v>0</v>
      </c>
      <c r="I59" t="s">
        <v>16</v>
      </c>
      <c r="J59" t="s">
        <v>29</v>
      </c>
      <c r="K59">
        <v>484.8</v>
      </c>
      <c r="L59" s="2">
        <v>35484.800000000003</v>
      </c>
      <c r="M59" s="6">
        <f t="shared" si="1"/>
        <v>395800</v>
      </c>
      <c r="N59" s="8">
        <f t="shared" si="0"/>
        <v>485</v>
      </c>
    </row>
    <row r="60" spans="1:14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7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6">
        <f t="shared" si="1"/>
        <v>449949</v>
      </c>
      <c r="N60" s="8">
        <f t="shared" si="0"/>
        <v>705</v>
      </c>
    </row>
    <row r="61" spans="1:14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7">
        <v>0</v>
      </c>
      <c r="I61" t="s">
        <v>16</v>
      </c>
      <c r="J61" t="s">
        <v>17</v>
      </c>
      <c r="K61">
        <v>518.4</v>
      </c>
      <c r="L61" s="2">
        <v>35518.400000000001</v>
      </c>
      <c r="M61" s="6">
        <f t="shared" si="1"/>
        <v>405957</v>
      </c>
      <c r="N61" s="8">
        <f t="shared" si="0"/>
        <v>518</v>
      </c>
    </row>
    <row r="62" spans="1:14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7">
        <v>36526</v>
      </c>
      <c r="I62" t="s">
        <v>16</v>
      </c>
      <c r="J62" t="s">
        <v>17</v>
      </c>
      <c r="K62">
        <v>312</v>
      </c>
      <c r="L62" s="2">
        <v>35312</v>
      </c>
      <c r="M62" s="6">
        <f t="shared" si="1"/>
        <v>445811</v>
      </c>
      <c r="N62" s="8">
        <f t="shared" si="0"/>
        <v>312</v>
      </c>
    </row>
    <row r="63" spans="1:14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7">
        <v>0</v>
      </c>
      <c r="I63" t="s">
        <v>16</v>
      </c>
      <c r="J63" t="s">
        <v>24</v>
      </c>
      <c r="K63">
        <v>504</v>
      </c>
      <c r="L63" s="2">
        <v>35504</v>
      </c>
      <c r="M63" s="6">
        <f t="shared" si="1"/>
        <v>811033</v>
      </c>
      <c r="N63" s="8">
        <f t="shared" si="0"/>
        <v>504</v>
      </c>
    </row>
    <row r="64" spans="1:14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7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6">
        <f t="shared" si="1"/>
        <v>333976</v>
      </c>
      <c r="N64" s="8">
        <f t="shared" si="0"/>
        <v>863</v>
      </c>
    </row>
    <row r="65" spans="1:14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7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6">
        <f t="shared" si="1"/>
        <v>2426102</v>
      </c>
      <c r="N65" s="8">
        <f t="shared" si="0"/>
        <v>104</v>
      </c>
    </row>
    <row r="66" spans="1:14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7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6">
        <f t="shared" si="1"/>
        <v>661397</v>
      </c>
      <c r="N66" s="8">
        <f t="shared" si="0"/>
        <v>676</v>
      </c>
    </row>
    <row r="67" spans="1:14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7">
        <v>0</v>
      </c>
      <c r="I67" t="s">
        <v>16</v>
      </c>
      <c r="J67" t="s">
        <v>17</v>
      </c>
      <c r="K67">
        <v>350.4</v>
      </c>
      <c r="L67" s="2">
        <v>35350.400000000001</v>
      </c>
      <c r="M67" s="6">
        <f t="shared" ref="M67:M130" si="2">VALUE(TEXT(E67,"0.00"))</f>
        <v>293069</v>
      </c>
      <c r="N67" s="8">
        <f t="shared" ref="N67:N130" si="3">VALUE(TEXT(K67,"0.00"))</f>
        <v>350</v>
      </c>
    </row>
    <row r="68" spans="1:14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7">
        <v>0</v>
      </c>
      <c r="I68" t="s">
        <v>28</v>
      </c>
      <c r="J68" t="s">
        <v>29</v>
      </c>
      <c r="K68">
        <v>537.6</v>
      </c>
      <c r="L68" s="2">
        <v>35537.599999999999</v>
      </c>
      <c r="M68" s="6">
        <f t="shared" si="2"/>
        <v>867219</v>
      </c>
      <c r="N68" s="8">
        <f t="shared" si="3"/>
        <v>538</v>
      </c>
    </row>
    <row r="69" spans="1:14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7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6">
        <f t="shared" si="2"/>
        <v>1163867</v>
      </c>
      <c r="N69" s="8">
        <f t="shared" si="3"/>
        <v>465</v>
      </c>
    </row>
    <row r="70" spans="1:14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7">
        <v>0</v>
      </c>
      <c r="I70" t="s">
        <v>16</v>
      </c>
      <c r="J70" t="s">
        <v>24</v>
      </c>
      <c r="K70">
        <v>456</v>
      </c>
      <c r="L70" s="2">
        <v>35456</v>
      </c>
      <c r="M70" s="6">
        <f t="shared" si="2"/>
        <v>684615</v>
      </c>
      <c r="N70" s="8">
        <f t="shared" si="3"/>
        <v>456</v>
      </c>
    </row>
    <row r="71" spans="1:14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7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6">
        <f t="shared" si="2"/>
        <v>1172778</v>
      </c>
      <c r="N71" s="8">
        <f t="shared" si="3"/>
        <v>500</v>
      </c>
    </row>
    <row r="72" spans="1:14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7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6">
        <f t="shared" si="2"/>
        <v>2264383</v>
      </c>
      <c r="N72" s="8">
        <f t="shared" si="3"/>
        <v>281</v>
      </c>
    </row>
    <row r="73" spans="1:14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7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6">
        <f t="shared" si="2"/>
        <v>261447</v>
      </c>
      <c r="N73" s="8">
        <f t="shared" si="3"/>
        <v>5</v>
      </c>
    </row>
    <row r="74" spans="1:14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7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6">
        <f t="shared" si="2"/>
        <v>245175</v>
      </c>
      <c r="N74" s="8">
        <f t="shared" si="3"/>
        <v>307</v>
      </c>
    </row>
    <row r="75" spans="1:14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7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6">
        <f t="shared" si="2"/>
        <v>678127</v>
      </c>
      <c r="N75" s="8">
        <f t="shared" si="3"/>
        <v>982</v>
      </c>
    </row>
    <row r="76" spans="1:14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7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6">
        <f t="shared" si="2"/>
        <v>497480</v>
      </c>
      <c r="N76" s="8">
        <f t="shared" si="3"/>
        <v>468</v>
      </c>
    </row>
    <row r="77" spans="1:14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7">
        <v>0</v>
      </c>
      <c r="I77" t="s">
        <v>16</v>
      </c>
      <c r="J77" t="s">
        <v>17</v>
      </c>
      <c r="K77">
        <v>350.4</v>
      </c>
      <c r="L77" s="2">
        <v>35350.400000000001</v>
      </c>
      <c r="M77" s="6">
        <f t="shared" si="2"/>
        <v>859160</v>
      </c>
      <c r="N77" s="8">
        <f t="shared" si="3"/>
        <v>350</v>
      </c>
    </row>
    <row r="78" spans="1:14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7">
        <v>0</v>
      </c>
      <c r="I78" t="s">
        <v>16</v>
      </c>
      <c r="J78" t="s">
        <v>17</v>
      </c>
      <c r="K78">
        <v>29.03416</v>
      </c>
      <c r="L78" s="2">
        <v>35029.034160000003</v>
      </c>
      <c r="M78" s="6">
        <f t="shared" si="2"/>
        <v>559216</v>
      </c>
      <c r="N78" s="8">
        <f t="shared" si="3"/>
        <v>29</v>
      </c>
    </row>
    <row r="79" spans="1:14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7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6">
        <f t="shared" si="2"/>
        <v>800947</v>
      </c>
      <c r="N79" s="8">
        <f t="shared" si="3"/>
        <v>322</v>
      </c>
    </row>
    <row r="80" spans="1:14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7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6">
        <f t="shared" si="2"/>
        <v>0</v>
      </c>
      <c r="N80" s="8">
        <f t="shared" si="3"/>
        <v>41</v>
      </c>
    </row>
    <row r="81" spans="1:14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7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6">
        <f t="shared" si="2"/>
        <v>5816655</v>
      </c>
      <c r="N81" s="8">
        <f t="shared" si="3"/>
        <v>428</v>
      </c>
    </row>
    <row r="82" spans="1:14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7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6">
        <f t="shared" si="2"/>
        <v>802523</v>
      </c>
      <c r="N82" s="8">
        <f t="shared" si="3"/>
        <v>26</v>
      </c>
    </row>
    <row r="83" spans="1:14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7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6">
        <f t="shared" si="2"/>
        <v>578018</v>
      </c>
      <c r="N83" s="8">
        <f t="shared" si="3"/>
        <v>788</v>
      </c>
    </row>
    <row r="84" spans="1:14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7">
        <v>0</v>
      </c>
      <c r="I84" t="s">
        <v>16</v>
      </c>
      <c r="J84" t="s">
        <v>29</v>
      </c>
      <c r="K84">
        <v>489.6</v>
      </c>
      <c r="L84" s="2">
        <v>35489.599999999999</v>
      </c>
      <c r="M84" s="6">
        <f t="shared" si="2"/>
        <v>411854</v>
      </c>
      <c r="N84" s="8">
        <f t="shared" si="3"/>
        <v>490</v>
      </c>
    </row>
    <row r="85" spans="1:14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7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6">
        <f t="shared" si="2"/>
        <v>252307</v>
      </c>
      <c r="N85" s="8">
        <f t="shared" si="3"/>
        <v>302</v>
      </c>
    </row>
    <row r="86" spans="1:14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7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6">
        <f t="shared" si="2"/>
        <v>655422</v>
      </c>
      <c r="N86" s="8">
        <f t="shared" si="3"/>
        <v>476</v>
      </c>
    </row>
    <row r="87" spans="1:14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7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6">
        <f t="shared" si="2"/>
        <v>538275</v>
      </c>
      <c r="N87" s="8">
        <f t="shared" si="3"/>
        <v>45</v>
      </c>
    </row>
    <row r="88" spans="1:14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7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6">
        <f t="shared" si="2"/>
        <v>592673</v>
      </c>
      <c r="N88" s="8">
        <f t="shared" si="3"/>
        <v>461</v>
      </c>
    </row>
    <row r="89" spans="1:14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7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6">
        <f t="shared" si="2"/>
        <v>268347</v>
      </c>
      <c r="N89" s="8">
        <f t="shared" si="3"/>
        <v>282</v>
      </c>
    </row>
    <row r="90" spans="1:14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7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6">
        <f t="shared" si="2"/>
        <v>269518</v>
      </c>
      <c r="N90" s="8">
        <f t="shared" si="3"/>
        <v>322</v>
      </c>
    </row>
    <row r="91" spans="1:14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7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6">
        <f t="shared" si="2"/>
        <v>604703</v>
      </c>
      <c r="N91" s="8">
        <f t="shared" si="3"/>
        <v>365</v>
      </c>
    </row>
    <row r="92" spans="1:14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7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6">
        <f t="shared" si="2"/>
        <v>1317101</v>
      </c>
      <c r="N92" s="8">
        <f t="shared" si="3"/>
        <v>680</v>
      </c>
    </row>
    <row r="93" spans="1:14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7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6">
        <f t="shared" si="2"/>
        <v>1595002</v>
      </c>
      <c r="N93" s="8">
        <f t="shared" si="3"/>
        <v>46</v>
      </c>
    </row>
    <row r="94" spans="1:14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7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6">
        <f t="shared" si="2"/>
        <v>252765</v>
      </c>
      <c r="N94" s="8">
        <f t="shared" si="3"/>
        <v>12</v>
      </c>
    </row>
    <row r="95" spans="1:14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7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6">
        <f t="shared" si="2"/>
        <v>267210</v>
      </c>
      <c r="N95" s="8">
        <f t="shared" si="3"/>
        <v>351</v>
      </c>
    </row>
    <row r="96" spans="1:14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7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6">
        <f t="shared" si="2"/>
        <v>531329</v>
      </c>
      <c r="N96" s="8">
        <f t="shared" si="3"/>
        <v>863</v>
      </c>
    </row>
    <row r="97" spans="1:14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7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6">
        <f t="shared" si="2"/>
        <v>2094619</v>
      </c>
      <c r="N97" s="8">
        <f t="shared" si="3"/>
        <v>492</v>
      </c>
    </row>
    <row r="98" spans="1:14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7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6">
        <f t="shared" si="2"/>
        <v>837535</v>
      </c>
      <c r="N98" s="8">
        <f t="shared" si="3"/>
        <v>133</v>
      </c>
    </row>
    <row r="99" spans="1:14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7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6">
        <f t="shared" si="2"/>
        <v>480166</v>
      </c>
      <c r="N99" s="8">
        <f t="shared" si="3"/>
        <v>298</v>
      </c>
    </row>
    <row r="100" spans="1:14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7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6">
        <f t="shared" si="2"/>
        <v>574594</v>
      </c>
      <c r="N100" s="8">
        <f t="shared" si="3"/>
        <v>270</v>
      </c>
    </row>
    <row r="101" spans="1:14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7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6">
        <f t="shared" si="2"/>
        <v>606612</v>
      </c>
      <c r="N101" s="8">
        <f t="shared" si="3"/>
        <v>380</v>
      </c>
    </row>
    <row r="102" spans="1:14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7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6">
        <f t="shared" si="2"/>
        <v>800231</v>
      </c>
      <c r="N102" s="8">
        <f t="shared" si="3"/>
        <v>514</v>
      </c>
    </row>
    <row r="103" spans="1:14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7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6">
        <f t="shared" si="2"/>
        <v>239392</v>
      </c>
      <c r="N103" s="8">
        <f t="shared" si="3"/>
        <v>425</v>
      </c>
    </row>
    <row r="104" spans="1:14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7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6">
        <f t="shared" si="2"/>
        <v>476282</v>
      </c>
      <c r="N104" s="8">
        <f t="shared" si="3"/>
        <v>49</v>
      </c>
    </row>
    <row r="105" spans="1:14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7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6">
        <f t="shared" si="2"/>
        <v>433039</v>
      </c>
      <c r="N105" s="8">
        <f t="shared" si="3"/>
        <v>514</v>
      </c>
    </row>
    <row r="106" spans="1:14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7">
        <v>0</v>
      </c>
      <c r="I106" t="s">
        <v>16</v>
      </c>
      <c r="J106" t="s">
        <v>29</v>
      </c>
      <c r="K106">
        <v>936</v>
      </c>
      <c r="L106" s="2">
        <v>35936</v>
      </c>
      <c r="M106" s="6">
        <f t="shared" si="2"/>
        <v>940273</v>
      </c>
      <c r="N106" s="8">
        <f t="shared" si="3"/>
        <v>936</v>
      </c>
    </row>
    <row r="107" spans="1:14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7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6">
        <f t="shared" si="2"/>
        <v>696669</v>
      </c>
      <c r="N107" s="8">
        <f t="shared" si="3"/>
        <v>142</v>
      </c>
    </row>
    <row r="108" spans="1:14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7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6">
        <f t="shared" si="2"/>
        <v>769406</v>
      </c>
      <c r="N108" s="8">
        <f t="shared" si="3"/>
        <v>45</v>
      </c>
    </row>
    <row r="109" spans="1:14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7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6">
        <f t="shared" si="2"/>
        <v>871756</v>
      </c>
      <c r="N109" s="8">
        <f t="shared" si="3"/>
        <v>562</v>
      </c>
    </row>
    <row r="110" spans="1:14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7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6">
        <f t="shared" si="2"/>
        <v>592875</v>
      </c>
      <c r="N110" s="8">
        <f t="shared" si="3"/>
        <v>31</v>
      </c>
    </row>
    <row r="111" spans="1:14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7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6">
        <f t="shared" si="2"/>
        <v>245298</v>
      </c>
      <c r="N111" s="8">
        <f t="shared" si="3"/>
        <v>272</v>
      </c>
    </row>
    <row r="112" spans="1:14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7">
        <v>0</v>
      </c>
      <c r="I112" t="s">
        <v>16</v>
      </c>
      <c r="J112" t="s">
        <v>17</v>
      </c>
      <c r="K112">
        <v>408</v>
      </c>
      <c r="L112" s="2">
        <v>35408</v>
      </c>
      <c r="M112" s="6">
        <f t="shared" si="2"/>
        <v>670157</v>
      </c>
      <c r="N112" s="8">
        <f t="shared" si="3"/>
        <v>408</v>
      </c>
    </row>
    <row r="113" spans="1:14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7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6">
        <f t="shared" si="2"/>
        <v>499655</v>
      </c>
      <c r="N113" s="8">
        <f t="shared" si="3"/>
        <v>46</v>
      </c>
    </row>
    <row r="114" spans="1:14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7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6">
        <f t="shared" si="2"/>
        <v>849270</v>
      </c>
      <c r="N114" s="8">
        <f t="shared" si="3"/>
        <v>785</v>
      </c>
    </row>
    <row r="115" spans="1:14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7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6">
        <f t="shared" si="2"/>
        <v>771349</v>
      </c>
      <c r="N115" s="8">
        <f t="shared" si="3"/>
        <v>317</v>
      </c>
    </row>
    <row r="116" spans="1:14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7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6">
        <f t="shared" si="2"/>
        <v>518580</v>
      </c>
      <c r="N116" s="8">
        <f t="shared" si="3"/>
        <v>48</v>
      </c>
    </row>
    <row r="117" spans="1:14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7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6">
        <f t="shared" si="2"/>
        <v>729007</v>
      </c>
      <c r="N117" s="8">
        <f t="shared" si="3"/>
        <v>490</v>
      </c>
    </row>
    <row r="118" spans="1:14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7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6">
        <f t="shared" si="2"/>
        <v>477294</v>
      </c>
      <c r="N118" s="8">
        <f t="shared" si="3"/>
        <v>638</v>
      </c>
    </row>
    <row r="119" spans="1:14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7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6">
        <f t="shared" si="2"/>
        <v>680649</v>
      </c>
      <c r="N119" s="8">
        <f t="shared" si="3"/>
        <v>466</v>
      </c>
    </row>
    <row r="120" spans="1:14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7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6">
        <f t="shared" si="2"/>
        <v>246978</v>
      </c>
      <c r="N120" s="8">
        <f t="shared" si="3"/>
        <v>368</v>
      </c>
    </row>
    <row r="121" spans="1:14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7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6">
        <f t="shared" si="2"/>
        <v>310392</v>
      </c>
      <c r="N121" s="8">
        <f t="shared" si="3"/>
        <v>237</v>
      </c>
    </row>
    <row r="122" spans="1:14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7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6">
        <f t="shared" si="2"/>
        <v>1048492</v>
      </c>
      <c r="N122" s="8">
        <f t="shared" si="3"/>
        <v>49</v>
      </c>
    </row>
    <row r="123" spans="1:14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7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6">
        <f t="shared" si="2"/>
        <v>890274</v>
      </c>
      <c r="N123" s="8">
        <f t="shared" si="3"/>
        <v>64</v>
      </c>
    </row>
    <row r="124" spans="1:14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7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6">
        <f t="shared" si="2"/>
        <v>549945</v>
      </c>
      <c r="N124" s="8">
        <f t="shared" si="3"/>
        <v>326</v>
      </c>
    </row>
    <row r="125" spans="1:14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7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6">
        <f t="shared" si="2"/>
        <v>1502360</v>
      </c>
      <c r="N125" s="8">
        <f t="shared" si="3"/>
        <v>922</v>
      </c>
    </row>
    <row r="126" spans="1:14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7">
        <v>0</v>
      </c>
      <c r="I126" t="s">
        <v>16</v>
      </c>
      <c r="J126" t="s">
        <v>17</v>
      </c>
      <c r="K126">
        <v>101.89645</v>
      </c>
      <c r="L126" s="2">
        <v>35101.89645</v>
      </c>
      <c r="M126" s="6">
        <f t="shared" si="2"/>
        <v>250911</v>
      </c>
      <c r="N126" s="8">
        <f t="shared" si="3"/>
        <v>102</v>
      </c>
    </row>
    <row r="127" spans="1:14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7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6">
        <f t="shared" si="2"/>
        <v>3122175</v>
      </c>
      <c r="N127" s="8">
        <f t="shared" si="3"/>
        <v>542</v>
      </c>
    </row>
    <row r="128" spans="1:14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7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6">
        <f t="shared" si="2"/>
        <v>313350</v>
      </c>
      <c r="N128" s="8">
        <f t="shared" si="3"/>
        <v>144</v>
      </c>
    </row>
    <row r="129" spans="1:14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7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6">
        <f t="shared" si="2"/>
        <v>383745</v>
      </c>
      <c r="N129" s="8">
        <f t="shared" si="3"/>
        <v>424</v>
      </c>
    </row>
    <row r="130" spans="1:14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7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6">
        <f t="shared" si="2"/>
        <v>1179050</v>
      </c>
      <c r="N130" s="8">
        <f t="shared" si="3"/>
        <v>317</v>
      </c>
    </row>
    <row r="131" spans="1:14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7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6">
        <f t="shared" ref="M131:M194" si="4">VALUE(TEXT(E131,"0.00"))</f>
        <v>282986</v>
      </c>
      <c r="N131" s="8">
        <f t="shared" ref="N131:N194" si="5">VALUE(TEXT(K131,"0.00"))</f>
        <v>50</v>
      </c>
    </row>
    <row r="132" spans="1:14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7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6">
        <f t="shared" si="4"/>
        <v>430581</v>
      </c>
      <c r="N132" s="8">
        <f t="shared" si="5"/>
        <v>523</v>
      </c>
    </row>
    <row r="133" spans="1:14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7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6">
        <f t="shared" si="4"/>
        <v>597398</v>
      </c>
      <c r="N133" s="8">
        <f t="shared" si="5"/>
        <v>114</v>
      </c>
    </row>
    <row r="134" spans="1:14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7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6">
        <f t="shared" si="4"/>
        <v>567044</v>
      </c>
      <c r="N134" s="8">
        <f t="shared" si="5"/>
        <v>193</v>
      </c>
    </row>
    <row r="135" spans="1:14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7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6">
        <f t="shared" si="4"/>
        <v>473175</v>
      </c>
      <c r="N135" s="8">
        <f t="shared" si="5"/>
        <v>829</v>
      </c>
    </row>
    <row r="136" spans="1:14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7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6">
        <f t="shared" si="4"/>
        <v>802638</v>
      </c>
      <c r="N136" s="8">
        <f t="shared" si="5"/>
        <v>533</v>
      </c>
    </row>
    <row r="137" spans="1:14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7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6">
        <f t="shared" si="4"/>
        <v>402296</v>
      </c>
      <c r="N137" s="8">
        <f t="shared" si="5"/>
        <v>975</v>
      </c>
    </row>
    <row r="138" spans="1:14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7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6">
        <f t="shared" si="4"/>
        <v>961831</v>
      </c>
      <c r="N138" s="8">
        <f t="shared" si="5"/>
        <v>54</v>
      </c>
    </row>
    <row r="139" spans="1:14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7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6">
        <f t="shared" si="4"/>
        <v>725595</v>
      </c>
      <c r="N139" s="8">
        <f t="shared" si="5"/>
        <v>51</v>
      </c>
    </row>
    <row r="140" spans="1:14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7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6">
        <f t="shared" si="4"/>
        <v>955293</v>
      </c>
      <c r="N140" s="8">
        <f t="shared" si="5"/>
        <v>290</v>
      </c>
    </row>
    <row r="141" spans="1:14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7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6">
        <f t="shared" si="4"/>
        <v>1038855</v>
      </c>
      <c r="N141" s="8">
        <f t="shared" si="5"/>
        <v>393</v>
      </c>
    </row>
    <row r="142" spans="1:14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7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6">
        <f t="shared" si="4"/>
        <v>247012</v>
      </c>
      <c r="N142" s="8">
        <f t="shared" si="5"/>
        <v>721</v>
      </c>
    </row>
    <row r="143" spans="1:14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7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6">
        <f t="shared" si="4"/>
        <v>561907</v>
      </c>
      <c r="N143" s="8">
        <f t="shared" si="5"/>
        <v>457</v>
      </c>
    </row>
    <row r="144" spans="1:14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7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6">
        <f t="shared" si="4"/>
        <v>904712</v>
      </c>
      <c r="N144" s="8">
        <f t="shared" si="5"/>
        <v>1088</v>
      </c>
    </row>
    <row r="145" spans="1:14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7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6">
        <f t="shared" si="4"/>
        <v>268731</v>
      </c>
      <c r="N145" s="8">
        <f t="shared" si="5"/>
        <v>52</v>
      </c>
    </row>
    <row r="146" spans="1:14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7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6">
        <f t="shared" si="4"/>
        <v>373150</v>
      </c>
      <c r="N146" s="8">
        <f t="shared" si="5"/>
        <v>461</v>
      </c>
    </row>
    <row r="147" spans="1:14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7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6">
        <f t="shared" si="4"/>
        <v>366077</v>
      </c>
      <c r="N147" s="8">
        <f t="shared" si="5"/>
        <v>252</v>
      </c>
    </row>
    <row r="148" spans="1:14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7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6">
        <f t="shared" si="4"/>
        <v>792883</v>
      </c>
      <c r="N148" s="8">
        <f t="shared" si="5"/>
        <v>346</v>
      </c>
    </row>
    <row r="149" spans="1:14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7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6">
        <f t="shared" si="4"/>
        <v>501175</v>
      </c>
      <c r="N149" s="8">
        <f t="shared" si="5"/>
        <v>322</v>
      </c>
    </row>
    <row r="150" spans="1:14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7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6">
        <f t="shared" si="4"/>
        <v>798826</v>
      </c>
      <c r="N150" s="8">
        <f t="shared" si="5"/>
        <v>99</v>
      </c>
    </row>
    <row r="151" spans="1:14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7">
        <v>0</v>
      </c>
      <c r="I151" t="s">
        <v>28</v>
      </c>
      <c r="J151" t="s">
        <v>17</v>
      </c>
      <c r="K151">
        <v>504</v>
      </c>
      <c r="L151" s="2">
        <v>35504</v>
      </c>
      <c r="M151" s="6">
        <f t="shared" si="4"/>
        <v>388546</v>
      </c>
      <c r="N151" s="8">
        <f t="shared" si="5"/>
        <v>504</v>
      </c>
    </row>
    <row r="152" spans="1:14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7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6">
        <f t="shared" si="4"/>
        <v>935774</v>
      </c>
      <c r="N152" s="8">
        <f t="shared" si="5"/>
        <v>57</v>
      </c>
    </row>
    <row r="153" spans="1:14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7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6">
        <f t="shared" si="4"/>
        <v>254069</v>
      </c>
      <c r="N153" s="8">
        <f t="shared" si="5"/>
        <v>58</v>
      </c>
    </row>
    <row r="154" spans="1:14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7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6">
        <f t="shared" si="4"/>
        <v>488516</v>
      </c>
      <c r="N154" s="8">
        <f t="shared" si="5"/>
        <v>605</v>
      </c>
    </row>
    <row r="155" spans="1:14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7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6">
        <f t="shared" si="4"/>
        <v>975331</v>
      </c>
      <c r="N155" s="8">
        <f t="shared" si="5"/>
        <v>8</v>
      </c>
    </row>
    <row r="156" spans="1:14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7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6">
        <f t="shared" si="4"/>
        <v>294615</v>
      </c>
      <c r="N156" s="8">
        <f t="shared" si="5"/>
        <v>317</v>
      </c>
    </row>
    <row r="157" spans="1:14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7">
        <v>0</v>
      </c>
      <c r="I157" t="s">
        <v>16</v>
      </c>
      <c r="J157" t="s">
        <v>17</v>
      </c>
      <c r="K157">
        <v>312</v>
      </c>
      <c r="L157" s="2">
        <v>35312</v>
      </c>
      <c r="M157" s="6">
        <f t="shared" si="4"/>
        <v>258111</v>
      </c>
      <c r="N157" s="8">
        <f t="shared" si="5"/>
        <v>312</v>
      </c>
    </row>
    <row r="158" spans="1:14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7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6">
        <f t="shared" si="4"/>
        <v>351739</v>
      </c>
      <c r="N158" s="8">
        <f t="shared" si="5"/>
        <v>56</v>
      </c>
    </row>
    <row r="159" spans="1:14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7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6">
        <f t="shared" si="4"/>
        <v>974335</v>
      </c>
      <c r="N159" s="8">
        <f t="shared" si="5"/>
        <v>394</v>
      </c>
    </row>
    <row r="160" spans="1:14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7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6">
        <f t="shared" si="4"/>
        <v>387365</v>
      </c>
      <c r="N160" s="8">
        <f t="shared" si="5"/>
        <v>702</v>
      </c>
    </row>
    <row r="161" spans="1:14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7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6">
        <f t="shared" si="4"/>
        <v>764928</v>
      </c>
      <c r="N161" s="8">
        <f t="shared" si="5"/>
        <v>129</v>
      </c>
    </row>
    <row r="162" spans="1:14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7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6">
        <f t="shared" si="4"/>
        <v>228760</v>
      </c>
      <c r="N162" s="8">
        <f t="shared" si="5"/>
        <v>679</v>
      </c>
    </row>
    <row r="163" spans="1:14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7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6">
        <f t="shared" si="4"/>
        <v>825576</v>
      </c>
      <c r="N163" s="8">
        <f t="shared" si="5"/>
        <v>60</v>
      </c>
    </row>
    <row r="164" spans="1:14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7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6">
        <f t="shared" si="4"/>
        <v>871492</v>
      </c>
      <c r="N164" s="8">
        <f t="shared" si="5"/>
        <v>566</v>
      </c>
    </row>
    <row r="165" spans="1:14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7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6">
        <f t="shared" si="4"/>
        <v>681923</v>
      </c>
      <c r="N165" s="8">
        <f t="shared" si="5"/>
        <v>62</v>
      </c>
    </row>
    <row r="166" spans="1:14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7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6">
        <f t="shared" si="4"/>
        <v>741620</v>
      </c>
      <c r="N166" s="8">
        <f t="shared" si="5"/>
        <v>554</v>
      </c>
    </row>
    <row r="167" spans="1:14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7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6">
        <f t="shared" si="4"/>
        <v>777116</v>
      </c>
      <c r="N167" s="8">
        <f t="shared" si="5"/>
        <v>465</v>
      </c>
    </row>
    <row r="168" spans="1:14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7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6">
        <f t="shared" si="4"/>
        <v>696834</v>
      </c>
      <c r="N168" s="8">
        <f t="shared" si="5"/>
        <v>497</v>
      </c>
    </row>
    <row r="169" spans="1:14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7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6">
        <f t="shared" si="4"/>
        <v>425028</v>
      </c>
      <c r="N169" s="8">
        <f t="shared" si="5"/>
        <v>293</v>
      </c>
    </row>
    <row r="170" spans="1:14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7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6">
        <f t="shared" si="4"/>
        <v>1977657</v>
      </c>
      <c r="N170" s="8">
        <f t="shared" si="5"/>
        <v>257</v>
      </c>
    </row>
    <row r="171" spans="1:14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7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6">
        <f t="shared" si="4"/>
        <v>2134347</v>
      </c>
      <c r="N171" s="8">
        <f t="shared" si="5"/>
        <v>355</v>
      </c>
    </row>
    <row r="172" spans="1:14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7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6">
        <f t="shared" si="4"/>
        <v>241314</v>
      </c>
      <c r="N172" s="8">
        <f t="shared" si="5"/>
        <v>542</v>
      </c>
    </row>
    <row r="173" spans="1:14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7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6">
        <f t="shared" si="4"/>
        <v>1536385</v>
      </c>
      <c r="N173" s="8">
        <f t="shared" si="5"/>
        <v>303</v>
      </c>
    </row>
    <row r="174" spans="1:14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7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6">
        <f t="shared" si="4"/>
        <v>845696</v>
      </c>
      <c r="N174" s="8">
        <f t="shared" si="5"/>
        <v>25</v>
      </c>
    </row>
    <row r="175" spans="1:14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7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6">
        <f t="shared" si="4"/>
        <v>218964</v>
      </c>
      <c r="N175" s="8">
        <f t="shared" si="5"/>
        <v>293</v>
      </c>
    </row>
    <row r="176" spans="1:14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7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6">
        <f t="shared" si="4"/>
        <v>578018</v>
      </c>
      <c r="N176" s="8">
        <f t="shared" si="5"/>
        <v>788</v>
      </c>
    </row>
    <row r="177" spans="1:14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7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6">
        <f t="shared" si="4"/>
        <v>463998</v>
      </c>
      <c r="N177" s="8">
        <f t="shared" si="5"/>
        <v>84</v>
      </c>
    </row>
    <row r="178" spans="1:14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7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6">
        <f t="shared" si="4"/>
        <v>382443</v>
      </c>
      <c r="N178" s="8">
        <f t="shared" si="5"/>
        <v>62</v>
      </c>
    </row>
    <row r="179" spans="1:14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7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6">
        <f t="shared" si="4"/>
        <v>596812</v>
      </c>
      <c r="N179" s="8">
        <f t="shared" si="5"/>
        <v>233</v>
      </c>
    </row>
    <row r="180" spans="1:14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7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6">
        <f t="shared" si="4"/>
        <v>859034</v>
      </c>
      <c r="N180" s="8">
        <f t="shared" si="5"/>
        <v>68</v>
      </c>
    </row>
    <row r="181" spans="1:14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7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6">
        <f t="shared" si="4"/>
        <v>407663</v>
      </c>
      <c r="N181" s="8">
        <f t="shared" si="5"/>
        <v>710</v>
      </c>
    </row>
    <row r="182" spans="1:14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7">
        <v>36526</v>
      </c>
      <c r="I182" t="s">
        <v>16</v>
      </c>
      <c r="J182" t="s">
        <v>17</v>
      </c>
      <c r="K182">
        <v>552</v>
      </c>
      <c r="L182" s="2">
        <v>35552</v>
      </c>
      <c r="M182" s="6">
        <f t="shared" si="4"/>
        <v>1225260</v>
      </c>
      <c r="N182" s="8">
        <f t="shared" si="5"/>
        <v>552</v>
      </c>
    </row>
    <row r="183" spans="1:14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7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6">
        <f t="shared" si="4"/>
        <v>1693627</v>
      </c>
      <c r="N183" s="8">
        <f t="shared" si="5"/>
        <v>1123</v>
      </c>
    </row>
    <row r="184" spans="1:14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7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6">
        <f t="shared" si="4"/>
        <v>489244</v>
      </c>
      <c r="N184" s="8">
        <f t="shared" si="5"/>
        <v>408</v>
      </c>
    </row>
    <row r="185" spans="1:14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7">
        <v>0</v>
      </c>
      <c r="I185" t="s">
        <v>16</v>
      </c>
      <c r="J185" t="s">
        <v>17</v>
      </c>
      <c r="K185">
        <v>408</v>
      </c>
      <c r="L185" s="2">
        <v>35408</v>
      </c>
      <c r="M185" s="6">
        <f t="shared" si="4"/>
        <v>994230</v>
      </c>
      <c r="N185" s="8">
        <f t="shared" si="5"/>
        <v>408</v>
      </c>
    </row>
    <row r="186" spans="1:14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7">
        <v>0</v>
      </c>
      <c r="I186" t="s">
        <v>16</v>
      </c>
      <c r="J186" t="s">
        <v>29</v>
      </c>
      <c r="K186">
        <v>792</v>
      </c>
      <c r="L186" s="2">
        <v>35792</v>
      </c>
      <c r="M186" s="6">
        <f t="shared" si="4"/>
        <v>373584</v>
      </c>
      <c r="N186" s="8">
        <f t="shared" si="5"/>
        <v>792</v>
      </c>
    </row>
    <row r="187" spans="1:14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7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6">
        <f t="shared" si="4"/>
        <v>1311752</v>
      </c>
      <c r="N187" s="8">
        <f t="shared" si="5"/>
        <v>533</v>
      </c>
    </row>
    <row r="188" spans="1:14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7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6">
        <f t="shared" si="4"/>
        <v>457452</v>
      </c>
      <c r="N188" s="8">
        <f t="shared" si="5"/>
        <v>754</v>
      </c>
    </row>
    <row r="189" spans="1:14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7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6">
        <f t="shared" si="4"/>
        <v>547006</v>
      </c>
      <c r="N189" s="8">
        <f t="shared" si="5"/>
        <v>703</v>
      </c>
    </row>
    <row r="190" spans="1:14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7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6">
        <f t="shared" si="4"/>
        <v>297885</v>
      </c>
      <c r="N190" s="8">
        <f t="shared" si="5"/>
        <v>207</v>
      </c>
    </row>
    <row r="191" spans="1:14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7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6">
        <f t="shared" si="4"/>
        <v>641097</v>
      </c>
      <c r="N191" s="8">
        <f t="shared" si="5"/>
        <v>275</v>
      </c>
    </row>
    <row r="192" spans="1:14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7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6">
        <f t="shared" si="4"/>
        <v>447902</v>
      </c>
      <c r="N192" s="8">
        <f t="shared" si="5"/>
        <v>460</v>
      </c>
    </row>
    <row r="193" spans="1:14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7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6">
        <f t="shared" si="4"/>
        <v>238373</v>
      </c>
      <c r="N193" s="8">
        <f t="shared" si="5"/>
        <v>497</v>
      </c>
    </row>
    <row r="194" spans="1:14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7">
        <v>36526</v>
      </c>
      <c r="I194" t="s">
        <v>16</v>
      </c>
      <c r="J194" t="s">
        <v>24</v>
      </c>
      <c r="K194">
        <v>336</v>
      </c>
      <c r="L194" s="2">
        <v>35336</v>
      </c>
      <c r="M194" s="6">
        <f t="shared" si="4"/>
        <v>276449</v>
      </c>
      <c r="N194" s="8">
        <f t="shared" si="5"/>
        <v>336</v>
      </c>
    </row>
    <row r="195" spans="1:14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7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6">
        <f t="shared" ref="M195:M258" si="6">VALUE(TEXT(E195,"0.00"))</f>
        <v>792011</v>
      </c>
      <c r="N195" s="8">
        <f t="shared" ref="N195:N258" si="7">VALUE(TEXT(K195,"0.00"))</f>
        <v>322</v>
      </c>
    </row>
    <row r="196" spans="1:14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7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6">
        <f t="shared" si="6"/>
        <v>688910</v>
      </c>
      <c r="N196" s="8">
        <f t="shared" si="7"/>
        <v>302</v>
      </c>
    </row>
    <row r="197" spans="1:14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7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6">
        <f t="shared" si="6"/>
        <v>327419</v>
      </c>
      <c r="N197" s="8">
        <f t="shared" si="7"/>
        <v>431</v>
      </c>
    </row>
    <row r="198" spans="1:14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7">
        <v>0</v>
      </c>
      <c r="I198" t="s">
        <v>28</v>
      </c>
      <c r="J198" t="s">
        <v>65</v>
      </c>
      <c r="K198">
        <v>1836</v>
      </c>
      <c r="L198" s="2">
        <v>36836</v>
      </c>
      <c r="M198" s="6">
        <f t="shared" si="6"/>
        <v>995171</v>
      </c>
      <c r="N198" s="8">
        <f t="shared" si="7"/>
        <v>1836</v>
      </c>
    </row>
    <row r="199" spans="1:14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7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6">
        <f t="shared" si="6"/>
        <v>252156</v>
      </c>
      <c r="N199" s="8">
        <f t="shared" si="7"/>
        <v>68</v>
      </c>
    </row>
    <row r="200" spans="1:14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7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6">
        <f t="shared" si="6"/>
        <v>2370611</v>
      </c>
      <c r="N200" s="8">
        <f t="shared" si="7"/>
        <v>844</v>
      </c>
    </row>
    <row r="201" spans="1:14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7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6">
        <f t="shared" si="6"/>
        <v>604703</v>
      </c>
      <c r="N201" s="8">
        <f t="shared" si="7"/>
        <v>365</v>
      </c>
    </row>
    <row r="202" spans="1:14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7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6">
        <f t="shared" si="6"/>
        <v>1114030</v>
      </c>
      <c r="N202" s="8">
        <f t="shared" si="7"/>
        <v>722</v>
      </c>
    </row>
    <row r="203" spans="1:14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7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6">
        <f t="shared" si="6"/>
        <v>433406</v>
      </c>
      <c r="N203" s="8">
        <f t="shared" si="7"/>
        <v>590</v>
      </c>
    </row>
    <row r="204" spans="1:14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7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6">
        <f t="shared" si="6"/>
        <v>279975</v>
      </c>
      <c r="N204" s="8">
        <f t="shared" si="7"/>
        <v>481</v>
      </c>
    </row>
    <row r="205" spans="1:14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7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6">
        <f t="shared" si="6"/>
        <v>792314</v>
      </c>
      <c r="N205" s="8">
        <f t="shared" si="7"/>
        <v>1124</v>
      </c>
    </row>
    <row r="206" spans="1:14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7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6">
        <f t="shared" si="6"/>
        <v>368811</v>
      </c>
      <c r="N206" s="8">
        <f t="shared" si="7"/>
        <v>670</v>
      </c>
    </row>
    <row r="207" spans="1:14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7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6">
        <f t="shared" si="6"/>
        <v>1206746</v>
      </c>
      <c r="N207" s="8">
        <f t="shared" si="7"/>
        <v>1284</v>
      </c>
    </row>
    <row r="208" spans="1:14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7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6">
        <f t="shared" si="6"/>
        <v>292498</v>
      </c>
      <c r="N208" s="8">
        <f t="shared" si="7"/>
        <v>240</v>
      </c>
    </row>
    <row r="209" spans="1:14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7">
        <v>0</v>
      </c>
      <c r="I209" t="s">
        <v>28</v>
      </c>
      <c r="J209" t="s">
        <v>29</v>
      </c>
      <c r="K209">
        <v>912</v>
      </c>
      <c r="L209" s="2">
        <v>35912</v>
      </c>
      <c r="M209" s="6">
        <f t="shared" si="6"/>
        <v>1501409</v>
      </c>
      <c r="N209" s="8">
        <f t="shared" si="7"/>
        <v>912</v>
      </c>
    </row>
    <row r="210" spans="1:14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7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6">
        <f t="shared" si="6"/>
        <v>927723</v>
      </c>
      <c r="N210" s="8">
        <f t="shared" si="7"/>
        <v>557</v>
      </c>
    </row>
    <row r="211" spans="1:14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7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6">
        <f t="shared" si="6"/>
        <v>627412</v>
      </c>
      <c r="N211" s="8">
        <f t="shared" si="7"/>
        <v>115</v>
      </c>
    </row>
    <row r="212" spans="1:14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7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6">
        <f t="shared" si="6"/>
        <v>388665</v>
      </c>
      <c r="N212" s="8">
        <f t="shared" si="7"/>
        <v>470</v>
      </c>
    </row>
    <row r="213" spans="1:14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7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6">
        <f t="shared" si="6"/>
        <v>438628</v>
      </c>
      <c r="N213" s="8">
        <f t="shared" si="7"/>
        <v>322</v>
      </c>
    </row>
    <row r="214" spans="1:14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7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6">
        <f t="shared" si="6"/>
        <v>1136527</v>
      </c>
      <c r="N214" s="8">
        <f t="shared" si="7"/>
        <v>383</v>
      </c>
    </row>
    <row r="215" spans="1:14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7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6">
        <f t="shared" si="6"/>
        <v>561096</v>
      </c>
      <c r="N215" s="8">
        <f t="shared" si="7"/>
        <v>308</v>
      </c>
    </row>
    <row r="216" spans="1:14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7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6">
        <f t="shared" si="6"/>
        <v>291289</v>
      </c>
      <c r="N216" s="8">
        <f t="shared" si="7"/>
        <v>355</v>
      </c>
    </row>
    <row r="217" spans="1:14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7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6">
        <f t="shared" si="6"/>
        <v>691573</v>
      </c>
      <c r="N217" s="8">
        <f t="shared" si="7"/>
        <v>520</v>
      </c>
    </row>
    <row r="218" spans="1:14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7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6">
        <f t="shared" si="6"/>
        <v>626266</v>
      </c>
      <c r="N218" s="8">
        <f t="shared" si="7"/>
        <v>466</v>
      </c>
    </row>
    <row r="219" spans="1:14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7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6">
        <f t="shared" si="6"/>
        <v>650340</v>
      </c>
      <c r="N219" s="8">
        <f t="shared" si="7"/>
        <v>452</v>
      </c>
    </row>
    <row r="220" spans="1:14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7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6">
        <f t="shared" si="6"/>
        <v>800740</v>
      </c>
      <c r="N220" s="8">
        <f t="shared" si="7"/>
        <v>538</v>
      </c>
    </row>
    <row r="221" spans="1:14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7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6">
        <f t="shared" si="6"/>
        <v>292992</v>
      </c>
      <c r="N221" s="8">
        <f t="shared" si="7"/>
        <v>346</v>
      </c>
    </row>
    <row r="222" spans="1:14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7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6">
        <f t="shared" si="6"/>
        <v>596955</v>
      </c>
      <c r="N222" s="8">
        <f t="shared" si="7"/>
        <v>355</v>
      </c>
    </row>
    <row r="223" spans="1:14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7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6">
        <f t="shared" si="6"/>
        <v>547316</v>
      </c>
      <c r="N223" s="8">
        <f t="shared" si="7"/>
        <v>331</v>
      </c>
    </row>
    <row r="224" spans="1:14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7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6">
        <f t="shared" si="6"/>
        <v>564540</v>
      </c>
      <c r="N224" s="8">
        <f t="shared" si="7"/>
        <v>429</v>
      </c>
    </row>
    <row r="225" spans="1:14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7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6">
        <f t="shared" si="6"/>
        <v>636926</v>
      </c>
      <c r="N225" s="8">
        <f t="shared" si="7"/>
        <v>398</v>
      </c>
    </row>
    <row r="226" spans="1:14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7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6">
        <f t="shared" si="6"/>
        <v>1183377</v>
      </c>
      <c r="N226" s="8">
        <f t="shared" si="7"/>
        <v>494</v>
      </c>
    </row>
    <row r="227" spans="1:14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7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6">
        <f t="shared" si="6"/>
        <v>612111</v>
      </c>
      <c r="N227" s="8">
        <f t="shared" si="7"/>
        <v>370</v>
      </c>
    </row>
    <row r="228" spans="1:14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7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6">
        <f t="shared" si="6"/>
        <v>515937</v>
      </c>
      <c r="N228" s="8">
        <f t="shared" si="7"/>
        <v>832</v>
      </c>
    </row>
    <row r="229" spans="1:14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7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6">
        <f t="shared" si="6"/>
        <v>251459</v>
      </c>
      <c r="N229" s="8">
        <f t="shared" si="7"/>
        <v>156</v>
      </c>
    </row>
    <row r="230" spans="1:14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7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6">
        <f t="shared" si="6"/>
        <v>866861</v>
      </c>
      <c r="N230" s="8">
        <f t="shared" si="7"/>
        <v>373</v>
      </c>
    </row>
    <row r="231" spans="1:14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7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6">
        <f t="shared" si="6"/>
        <v>496097</v>
      </c>
      <c r="N231" s="8">
        <f t="shared" si="7"/>
        <v>396</v>
      </c>
    </row>
    <row r="232" spans="1:14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7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6">
        <f t="shared" si="6"/>
        <v>550414</v>
      </c>
      <c r="N232" s="8">
        <f t="shared" si="7"/>
        <v>350</v>
      </c>
    </row>
    <row r="233" spans="1:14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7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6">
        <f t="shared" si="6"/>
        <v>750746</v>
      </c>
      <c r="N233" s="8">
        <f t="shared" si="7"/>
        <v>231</v>
      </c>
    </row>
    <row r="234" spans="1:14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7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6">
        <f t="shared" si="6"/>
        <v>3226985</v>
      </c>
      <c r="N234" s="8">
        <f t="shared" si="7"/>
        <v>290</v>
      </c>
    </row>
    <row r="235" spans="1:14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7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6">
        <f t="shared" si="6"/>
        <v>565703</v>
      </c>
      <c r="N235" s="8">
        <f t="shared" si="7"/>
        <v>730</v>
      </c>
    </row>
    <row r="236" spans="1:14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7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6">
        <f t="shared" si="6"/>
        <v>506176</v>
      </c>
      <c r="N236" s="8">
        <f t="shared" si="7"/>
        <v>326</v>
      </c>
    </row>
    <row r="237" spans="1:14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7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6">
        <f t="shared" si="6"/>
        <v>591278</v>
      </c>
      <c r="N237" s="8">
        <f t="shared" si="7"/>
        <v>350</v>
      </c>
    </row>
    <row r="238" spans="1:14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7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6">
        <f t="shared" si="6"/>
        <v>1518228</v>
      </c>
      <c r="N238" s="8">
        <f t="shared" si="7"/>
        <v>106</v>
      </c>
    </row>
    <row r="239" spans="1:14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7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6">
        <f t="shared" si="6"/>
        <v>1074703</v>
      </c>
      <c r="N239" s="8">
        <f t="shared" si="7"/>
        <v>639</v>
      </c>
    </row>
    <row r="240" spans="1:14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7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6">
        <f t="shared" si="6"/>
        <v>205062</v>
      </c>
      <c r="N240" s="8">
        <f t="shared" si="7"/>
        <v>293</v>
      </c>
    </row>
    <row r="241" spans="1:14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7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6">
        <f t="shared" si="6"/>
        <v>246544</v>
      </c>
      <c r="N241" s="8">
        <f t="shared" si="7"/>
        <v>383</v>
      </c>
    </row>
    <row r="242" spans="1:14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7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6">
        <f t="shared" si="6"/>
        <v>534312</v>
      </c>
      <c r="N242" s="8">
        <f t="shared" si="7"/>
        <v>317</v>
      </c>
    </row>
    <row r="243" spans="1:14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7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6">
        <f t="shared" si="6"/>
        <v>811983</v>
      </c>
      <c r="N243" s="8">
        <f t="shared" si="7"/>
        <v>99</v>
      </c>
    </row>
    <row r="244" spans="1:14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7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6">
        <f t="shared" si="6"/>
        <v>460527</v>
      </c>
      <c r="N244" s="8">
        <f t="shared" si="7"/>
        <v>307</v>
      </c>
    </row>
    <row r="245" spans="1:14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7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6">
        <f t="shared" si="6"/>
        <v>640879</v>
      </c>
      <c r="N245" s="8">
        <f t="shared" si="7"/>
        <v>567</v>
      </c>
    </row>
    <row r="246" spans="1:14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7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6">
        <f t="shared" si="6"/>
        <v>237653</v>
      </c>
      <c r="N246" s="8">
        <f t="shared" si="7"/>
        <v>437</v>
      </c>
    </row>
    <row r="247" spans="1:14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7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6">
        <f t="shared" si="6"/>
        <v>321107</v>
      </c>
      <c r="N247" s="8">
        <f t="shared" si="7"/>
        <v>413</v>
      </c>
    </row>
    <row r="248" spans="1:14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7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6">
        <f t="shared" si="6"/>
        <v>509452</v>
      </c>
      <c r="N248" s="8">
        <f t="shared" si="7"/>
        <v>307</v>
      </c>
    </row>
    <row r="249" spans="1:14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7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6">
        <f t="shared" si="6"/>
        <v>2575528</v>
      </c>
      <c r="N249" s="8">
        <f t="shared" si="7"/>
        <v>389</v>
      </c>
    </row>
    <row r="250" spans="1:14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7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6">
        <f t="shared" si="6"/>
        <v>867223</v>
      </c>
      <c r="N250" s="8">
        <f t="shared" si="7"/>
        <v>2345</v>
      </c>
    </row>
    <row r="251" spans="1:14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7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6">
        <f t="shared" si="6"/>
        <v>804473</v>
      </c>
      <c r="N251" s="8">
        <f t="shared" si="7"/>
        <v>322</v>
      </c>
    </row>
    <row r="252" spans="1:14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7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6">
        <f t="shared" si="6"/>
        <v>400152</v>
      </c>
      <c r="N252" s="8">
        <f t="shared" si="7"/>
        <v>773</v>
      </c>
    </row>
    <row r="253" spans="1:14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7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6">
        <f t="shared" si="6"/>
        <v>1670612</v>
      </c>
      <c r="N253" s="8">
        <f t="shared" si="7"/>
        <v>425</v>
      </c>
    </row>
    <row r="254" spans="1:14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7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6">
        <f t="shared" si="6"/>
        <v>854441</v>
      </c>
      <c r="N254" s="8">
        <f t="shared" si="7"/>
        <v>523</v>
      </c>
    </row>
    <row r="255" spans="1:14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7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6">
        <f t="shared" si="6"/>
        <v>780531</v>
      </c>
      <c r="N255" s="8">
        <f t="shared" si="7"/>
        <v>509</v>
      </c>
    </row>
    <row r="256" spans="1:14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7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6">
        <f t="shared" si="6"/>
        <v>611276</v>
      </c>
      <c r="N256" s="8">
        <f t="shared" si="7"/>
        <v>364</v>
      </c>
    </row>
    <row r="257" spans="1:14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7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6">
        <f t="shared" si="6"/>
        <v>477294</v>
      </c>
      <c r="N257" s="8">
        <f t="shared" si="7"/>
        <v>638</v>
      </c>
    </row>
    <row r="258" spans="1:14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7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6">
        <f t="shared" si="6"/>
        <v>1097910</v>
      </c>
      <c r="N258" s="8">
        <f t="shared" si="7"/>
        <v>355</v>
      </c>
    </row>
    <row r="259" spans="1:14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7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6">
        <f t="shared" ref="M259:M322" si="8">VALUE(TEXT(E259,"0.00"))</f>
        <v>500426</v>
      </c>
      <c r="N259" s="8">
        <f t="shared" ref="N259:N322" si="9">VALUE(TEXT(K259,"0.00"))</f>
        <v>284</v>
      </c>
    </row>
    <row r="260" spans="1:14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7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6">
        <f t="shared" si="8"/>
        <v>1322304</v>
      </c>
      <c r="N260" s="8">
        <f t="shared" si="9"/>
        <v>403</v>
      </c>
    </row>
    <row r="261" spans="1:14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7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6">
        <f t="shared" si="8"/>
        <v>262332</v>
      </c>
      <c r="N261" s="8">
        <f t="shared" si="9"/>
        <v>21</v>
      </c>
    </row>
    <row r="262" spans="1:14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7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6">
        <f t="shared" si="8"/>
        <v>1784020</v>
      </c>
      <c r="N262" s="8">
        <f t="shared" si="9"/>
        <v>385</v>
      </c>
    </row>
    <row r="263" spans="1:14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7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6">
        <f t="shared" si="8"/>
        <v>510611</v>
      </c>
      <c r="N263" s="8">
        <f t="shared" si="9"/>
        <v>140</v>
      </c>
    </row>
    <row r="264" spans="1:14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7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6">
        <f t="shared" si="8"/>
        <v>1793060</v>
      </c>
      <c r="N264" s="8">
        <f t="shared" si="9"/>
        <v>326</v>
      </c>
    </row>
    <row r="265" spans="1:14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7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6">
        <f t="shared" si="8"/>
        <v>545734</v>
      </c>
      <c r="N265" s="8">
        <f t="shared" si="9"/>
        <v>322</v>
      </c>
    </row>
    <row r="266" spans="1:14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7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6">
        <f t="shared" si="8"/>
        <v>656364</v>
      </c>
      <c r="N266" s="8">
        <f t="shared" si="9"/>
        <v>398</v>
      </c>
    </row>
    <row r="267" spans="1:14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7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6">
        <f t="shared" si="8"/>
        <v>481253</v>
      </c>
      <c r="N267" s="8">
        <f t="shared" si="9"/>
        <v>103</v>
      </c>
    </row>
    <row r="268" spans="1:14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7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6">
        <f t="shared" si="8"/>
        <v>2932804</v>
      </c>
      <c r="N268" s="8">
        <f t="shared" si="9"/>
        <v>57</v>
      </c>
    </row>
    <row r="269" spans="1:14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7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6">
        <f t="shared" si="8"/>
        <v>577352</v>
      </c>
      <c r="N269" s="8">
        <f t="shared" si="9"/>
        <v>463</v>
      </c>
    </row>
    <row r="270" spans="1:14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7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6">
        <f t="shared" si="8"/>
        <v>684712</v>
      </c>
      <c r="N270" s="8">
        <f t="shared" si="9"/>
        <v>205</v>
      </c>
    </row>
    <row r="271" spans="1:14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7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6">
        <f t="shared" si="8"/>
        <v>359531</v>
      </c>
      <c r="N271" s="8">
        <f t="shared" si="9"/>
        <v>742</v>
      </c>
    </row>
    <row r="272" spans="1:14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7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6">
        <f t="shared" si="8"/>
        <v>2285561</v>
      </c>
      <c r="N272" s="8">
        <f t="shared" si="9"/>
        <v>56</v>
      </c>
    </row>
    <row r="273" spans="1:14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7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6">
        <f t="shared" si="8"/>
        <v>785941</v>
      </c>
      <c r="N273" s="8">
        <f t="shared" si="9"/>
        <v>814</v>
      </c>
    </row>
    <row r="274" spans="1:14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7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6">
        <f t="shared" si="8"/>
        <v>411558</v>
      </c>
      <c r="N274" s="8">
        <f t="shared" si="9"/>
        <v>494</v>
      </c>
    </row>
    <row r="275" spans="1:14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7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6">
        <f t="shared" si="8"/>
        <v>502964</v>
      </c>
      <c r="N275" s="8">
        <f t="shared" si="9"/>
        <v>796</v>
      </c>
    </row>
    <row r="276" spans="1:14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7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6">
        <f t="shared" si="8"/>
        <v>482142</v>
      </c>
      <c r="N276" s="8">
        <f t="shared" si="9"/>
        <v>614</v>
      </c>
    </row>
    <row r="277" spans="1:14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7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6">
        <f t="shared" si="8"/>
        <v>500431</v>
      </c>
      <c r="N277" s="8">
        <f t="shared" si="9"/>
        <v>72</v>
      </c>
    </row>
    <row r="278" spans="1:14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7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6">
        <f t="shared" si="8"/>
        <v>863005</v>
      </c>
      <c r="N278" s="8">
        <f t="shared" si="9"/>
        <v>533</v>
      </c>
    </row>
    <row r="279" spans="1:14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7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6">
        <f t="shared" si="8"/>
        <v>932209</v>
      </c>
      <c r="N279" s="8">
        <f t="shared" si="9"/>
        <v>68</v>
      </c>
    </row>
    <row r="280" spans="1:14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7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6">
        <f t="shared" si="8"/>
        <v>1672756</v>
      </c>
      <c r="N280" s="8">
        <f t="shared" si="9"/>
        <v>403</v>
      </c>
    </row>
    <row r="281" spans="1:14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7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6">
        <f t="shared" si="8"/>
        <v>365253</v>
      </c>
      <c r="N281" s="8">
        <f t="shared" si="9"/>
        <v>641</v>
      </c>
    </row>
    <row r="282" spans="1:14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7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6">
        <f t="shared" si="8"/>
        <v>615860</v>
      </c>
      <c r="N282" s="8">
        <f t="shared" si="9"/>
        <v>342</v>
      </c>
    </row>
    <row r="283" spans="1:14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7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6">
        <f t="shared" si="8"/>
        <v>437608</v>
      </c>
      <c r="N283" s="8">
        <f t="shared" si="9"/>
        <v>331</v>
      </c>
    </row>
    <row r="284" spans="1:14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7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6">
        <f t="shared" si="8"/>
        <v>556946</v>
      </c>
      <c r="N284" s="8">
        <f t="shared" si="9"/>
        <v>341</v>
      </c>
    </row>
    <row r="285" spans="1:14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7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6">
        <f t="shared" si="8"/>
        <v>257651</v>
      </c>
      <c r="N285" s="8">
        <f t="shared" si="9"/>
        <v>412</v>
      </c>
    </row>
    <row r="286" spans="1:14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7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6">
        <f t="shared" si="8"/>
        <v>834698</v>
      </c>
      <c r="N286" s="8">
        <f t="shared" si="9"/>
        <v>74</v>
      </c>
    </row>
    <row r="287" spans="1:14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7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6">
        <f t="shared" si="8"/>
        <v>632392</v>
      </c>
      <c r="N287" s="8">
        <f t="shared" si="9"/>
        <v>374</v>
      </c>
    </row>
    <row r="288" spans="1:14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7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6">
        <f t="shared" si="8"/>
        <v>597314</v>
      </c>
      <c r="N288" s="8">
        <f t="shared" si="9"/>
        <v>350</v>
      </c>
    </row>
    <row r="289" spans="1:14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7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6">
        <f t="shared" si="8"/>
        <v>470668</v>
      </c>
      <c r="N289" s="8">
        <f t="shared" si="9"/>
        <v>346</v>
      </c>
    </row>
    <row r="290" spans="1:14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7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6">
        <f t="shared" si="8"/>
        <v>809341</v>
      </c>
      <c r="N290" s="8">
        <f t="shared" si="9"/>
        <v>722</v>
      </c>
    </row>
    <row r="291" spans="1:14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7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6">
        <f t="shared" si="8"/>
        <v>503574</v>
      </c>
      <c r="N291" s="8">
        <f t="shared" si="9"/>
        <v>259</v>
      </c>
    </row>
    <row r="292" spans="1:14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7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6">
        <f t="shared" si="8"/>
        <v>902787</v>
      </c>
      <c r="N292" s="8">
        <f t="shared" si="9"/>
        <v>538</v>
      </c>
    </row>
    <row r="293" spans="1:14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7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6">
        <f t="shared" si="8"/>
        <v>728888</v>
      </c>
      <c r="N293" s="8">
        <f t="shared" si="9"/>
        <v>396</v>
      </c>
    </row>
    <row r="294" spans="1:14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7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6">
        <f t="shared" si="8"/>
        <v>1804248</v>
      </c>
      <c r="N294" s="8">
        <f t="shared" si="9"/>
        <v>358</v>
      </c>
    </row>
    <row r="295" spans="1:14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7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6">
        <f t="shared" si="8"/>
        <v>499206</v>
      </c>
      <c r="N295" s="8">
        <f t="shared" si="9"/>
        <v>653</v>
      </c>
    </row>
    <row r="296" spans="1:14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7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6">
        <f t="shared" si="8"/>
        <v>910227</v>
      </c>
      <c r="N296" s="8">
        <f t="shared" si="9"/>
        <v>121</v>
      </c>
    </row>
    <row r="297" spans="1:14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7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6">
        <f t="shared" si="8"/>
        <v>254041</v>
      </c>
      <c r="N297" s="8">
        <f t="shared" si="9"/>
        <v>93</v>
      </c>
    </row>
    <row r="298" spans="1:14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7">
        <v>36526</v>
      </c>
      <c r="I298" t="s">
        <v>16</v>
      </c>
      <c r="J298" t="s">
        <v>29</v>
      </c>
      <c r="K298">
        <v>528</v>
      </c>
      <c r="L298" s="2">
        <v>35528</v>
      </c>
      <c r="M298" s="6">
        <f t="shared" si="8"/>
        <v>1294189</v>
      </c>
      <c r="N298" s="8">
        <f t="shared" si="9"/>
        <v>528</v>
      </c>
    </row>
    <row r="299" spans="1:14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7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6">
        <f t="shared" si="8"/>
        <v>236535</v>
      </c>
      <c r="N299" s="8">
        <f t="shared" si="9"/>
        <v>160</v>
      </c>
    </row>
    <row r="300" spans="1:14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7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6">
        <f t="shared" si="8"/>
        <v>572077</v>
      </c>
      <c r="N300" s="8">
        <f t="shared" si="9"/>
        <v>476</v>
      </c>
    </row>
    <row r="301" spans="1:14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7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6">
        <f t="shared" si="8"/>
        <v>703553</v>
      </c>
      <c r="N301" s="8">
        <f t="shared" si="9"/>
        <v>727</v>
      </c>
    </row>
    <row r="302" spans="1:14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7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6">
        <f t="shared" si="8"/>
        <v>263698</v>
      </c>
      <c r="N302" s="8">
        <f t="shared" si="9"/>
        <v>322</v>
      </c>
    </row>
    <row r="303" spans="1:14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7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6">
        <f t="shared" si="8"/>
        <v>539583</v>
      </c>
      <c r="N303" s="8">
        <f t="shared" si="9"/>
        <v>42</v>
      </c>
    </row>
    <row r="304" spans="1:14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7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6">
        <f t="shared" si="8"/>
        <v>838263</v>
      </c>
      <c r="N304" s="8">
        <f t="shared" si="9"/>
        <v>562</v>
      </c>
    </row>
    <row r="305" spans="1:14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7">
        <v>0</v>
      </c>
      <c r="I305" t="s">
        <v>16</v>
      </c>
      <c r="J305" t="s">
        <v>29</v>
      </c>
      <c r="K305">
        <v>200.11606</v>
      </c>
      <c r="L305" s="2">
        <v>35200.11606</v>
      </c>
      <c r="M305" s="6">
        <f t="shared" si="8"/>
        <v>3116175</v>
      </c>
      <c r="N305" s="8">
        <f t="shared" si="9"/>
        <v>200</v>
      </c>
    </row>
    <row r="306" spans="1:14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7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6">
        <f t="shared" si="8"/>
        <v>288774</v>
      </c>
      <c r="N306" s="8">
        <f t="shared" si="9"/>
        <v>677</v>
      </c>
    </row>
    <row r="307" spans="1:14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7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6">
        <f t="shared" si="8"/>
        <v>742585</v>
      </c>
      <c r="N307" s="8">
        <f t="shared" si="9"/>
        <v>77</v>
      </c>
    </row>
    <row r="308" spans="1:14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7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6">
        <f t="shared" si="8"/>
        <v>2558573</v>
      </c>
      <c r="N308" s="8">
        <f t="shared" si="9"/>
        <v>831</v>
      </c>
    </row>
    <row r="309" spans="1:14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7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6">
        <f t="shared" si="8"/>
        <v>1027261</v>
      </c>
      <c r="N309" s="8">
        <f t="shared" si="9"/>
        <v>580</v>
      </c>
    </row>
    <row r="310" spans="1:14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7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6">
        <f t="shared" si="8"/>
        <v>437636</v>
      </c>
      <c r="N310" s="8">
        <f t="shared" si="9"/>
        <v>60</v>
      </c>
    </row>
    <row r="311" spans="1:14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7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6">
        <f t="shared" si="8"/>
        <v>531890</v>
      </c>
      <c r="N311" s="8">
        <f t="shared" si="9"/>
        <v>322</v>
      </c>
    </row>
    <row r="312" spans="1:14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7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6">
        <f t="shared" si="8"/>
        <v>471976</v>
      </c>
      <c r="N312" s="8">
        <f t="shared" si="9"/>
        <v>48</v>
      </c>
    </row>
    <row r="313" spans="1:14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7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6">
        <f t="shared" si="8"/>
        <v>442803</v>
      </c>
      <c r="N313" s="8">
        <f t="shared" si="9"/>
        <v>304</v>
      </c>
    </row>
    <row r="314" spans="1:14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7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6">
        <f t="shared" si="8"/>
        <v>587918</v>
      </c>
      <c r="N314" s="8">
        <f t="shared" si="9"/>
        <v>101</v>
      </c>
    </row>
    <row r="315" spans="1:14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7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6">
        <f t="shared" si="8"/>
        <v>941691</v>
      </c>
      <c r="N315" s="8">
        <f t="shared" si="9"/>
        <v>481</v>
      </c>
    </row>
    <row r="316" spans="1:14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7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6">
        <f t="shared" si="8"/>
        <v>828816</v>
      </c>
      <c r="N316" s="8">
        <f t="shared" si="9"/>
        <v>509</v>
      </c>
    </row>
    <row r="317" spans="1:14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7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6">
        <f t="shared" si="8"/>
        <v>3265484</v>
      </c>
      <c r="N317" s="8">
        <f t="shared" si="9"/>
        <v>1102</v>
      </c>
    </row>
    <row r="318" spans="1:14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7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6">
        <f t="shared" si="8"/>
        <v>471945</v>
      </c>
      <c r="N318" s="8">
        <f t="shared" si="9"/>
        <v>86</v>
      </c>
    </row>
    <row r="319" spans="1:14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7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6">
        <f t="shared" si="8"/>
        <v>390347</v>
      </c>
      <c r="N319" s="8">
        <f t="shared" si="9"/>
        <v>470</v>
      </c>
    </row>
    <row r="320" spans="1:14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7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6">
        <f t="shared" si="8"/>
        <v>545726</v>
      </c>
      <c r="N320" s="8">
        <f t="shared" si="9"/>
        <v>667</v>
      </c>
    </row>
    <row r="321" spans="1:14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7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6">
        <f t="shared" si="8"/>
        <v>272536</v>
      </c>
      <c r="N321" s="8">
        <f t="shared" si="9"/>
        <v>57</v>
      </c>
    </row>
    <row r="322" spans="1:14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7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6">
        <f t="shared" si="8"/>
        <v>443397</v>
      </c>
      <c r="N322" s="8">
        <f t="shared" si="9"/>
        <v>263</v>
      </c>
    </row>
    <row r="323" spans="1:14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7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6">
        <f t="shared" ref="M323:M386" si="10">VALUE(TEXT(E323,"0.00"))</f>
        <v>533246</v>
      </c>
      <c r="N323" s="8">
        <f t="shared" ref="N323:N386" si="11">VALUE(TEXT(K323,"0.00"))</f>
        <v>310</v>
      </c>
    </row>
    <row r="324" spans="1:14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7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6">
        <f t="shared" si="10"/>
        <v>231510</v>
      </c>
      <c r="N324" s="8">
        <f t="shared" si="11"/>
        <v>350</v>
      </c>
    </row>
    <row r="325" spans="1:14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7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6">
        <f t="shared" si="10"/>
        <v>541195</v>
      </c>
      <c r="N325" s="8">
        <f t="shared" si="11"/>
        <v>365</v>
      </c>
    </row>
    <row r="326" spans="1:14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7">
        <v>0</v>
      </c>
      <c r="I326" t="s">
        <v>16</v>
      </c>
      <c r="J326" t="s">
        <v>17</v>
      </c>
      <c r="K326">
        <v>384</v>
      </c>
      <c r="L326" s="2">
        <v>35384</v>
      </c>
      <c r="M326" s="6">
        <f t="shared" si="10"/>
        <v>958733</v>
      </c>
      <c r="N326" s="8">
        <f t="shared" si="11"/>
        <v>384</v>
      </c>
    </row>
    <row r="327" spans="1:14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7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6">
        <f t="shared" si="10"/>
        <v>2210351</v>
      </c>
      <c r="N327" s="8">
        <f t="shared" si="11"/>
        <v>490</v>
      </c>
    </row>
    <row r="328" spans="1:14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7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6">
        <f t="shared" si="10"/>
        <v>976495</v>
      </c>
      <c r="N328" s="8">
        <f t="shared" si="11"/>
        <v>706</v>
      </c>
    </row>
    <row r="329" spans="1:14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7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6">
        <f t="shared" si="10"/>
        <v>256715</v>
      </c>
      <c r="N329" s="8">
        <f t="shared" si="11"/>
        <v>10</v>
      </c>
    </row>
    <row r="330" spans="1:14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7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6">
        <f t="shared" si="10"/>
        <v>265062</v>
      </c>
      <c r="N330" s="8">
        <f t="shared" si="11"/>
        <v>245</v>
      </c>
    </row>
    <row r="331" spans="1:14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7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6">
        <f t="shared" si="10"/>
        <v>1126436</v>
      </c>
      <c r="N331" s="8">
        <f t="shared" si="11"/>
        <v>639</v>
      </c>
    </row>
    <row r="332" spans="1:14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7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6">
        <f t="shared" si="10"/>
        <v>216852</v>
      </c>
      <c r="N332" s="8">
        <f t="shared" si="11"/>
        <v>454</v>
      </c>
    </row>
    <row r="333" spans="1:14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7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6">
        <f t="shared" si="10"/>
        <v>861067</v>
      </c>
      <c r="N333" s="8">
        <f t="shared" si="11"/>
        <v>533</v>
      </c>
    </row>
    <row r="334" spans="1:14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7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6">
        <f t="shared" si="10"/>
        <v>283465</v>
      </c>
      <c r="N334" s="8">
        <f t="shared" si="11"/>
        <v>511</v>
      </c>
    </row>
    <row r="335" spans="1:14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7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6">
        <f t="shared" si="10"/>
        <v>893014</v>
      </c>
      <c r="N335" s="8">
        <f t="shared" si="11"/>
        <v>555</v>
      </c>
    </row>
    <row r="336" spans="1:14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7">
        <v>36526</v>
      </c>
      <c r="I336" t="s">
        <v>16</v>
      </c>
      <c r="J336" t="s">
        <v>17</v>
      </c>
      <c r="K336">
        <v>336</v>
      </c>
      <c r="L336" s="2">
        <v>35336</v>
      </c>
      <c r="M336" s="6">
        <f t="shared" si="10"/>
        <v>553639</v>
      </c>
      <c r="N336" s="8">
        <f t="shared" si="11"/>
        <v>336</v>
      </c>
    </row>
    <row r="337" spans="1:14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7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6">
        <f t="shared" si="10"/>
        <v>284085</v>
      </c>
      <c r="N337" s="8">
        <f t="shared" si="11"/>
        <v>402</v>
      </c>
    </row>
    <row r="338" spans="1:14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7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6">
        <f t="shared" si="10"/>
        <v>808288</v>
      </c>
      <c r="N338" s="8">
        <f t="shared" si="11"/>
        <v>327</v>
      </c>
    </row>
    <row r="339" spans="1:14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7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6">
        <f t="shared" si="10"/>
        <v>525473</v>
      </c>
      <c r="N339" s="8">
        <f t="shared" si="11"/>
        <v>5</v>
      </c>
    </row>
    <row r="340" spans="1:14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7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6">
        <f t="shared" si="10"/>
        <v>511624</v>
      </c>
      <c r="N340" s="8">
        <f t="shared" si="11"/>
        <v>131</v>
      </c>
    </row>
    <row r="341" spans="1:14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7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6">
        <f t="shared" si="10"/>
        <v>303465</v>
      </c>
      <c r="N341" s="8">
        <f t="shared" si="11"/>
        <v>99</v>
      </c>
    </row>
    <row r="342" spans="1:14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7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6">
        <f t="shared" si="10"/>
        <v>802490</v>
      </c>
      <c r="N342" s="8">
        <f t="shared" si="11"/>
        <v>857</v>
      </c>
    </row>
    <row r="343" spans="1:14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7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6">
        <f t="shared" si="10"/>
        <v>1821114</v>
      </c>
      <c r="N343" s="8">
        <f t="shared" si="11"/>
        <v>739</v>
      </c>
    </row>
    <row r="344" spans="1:14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7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6">
        <f t="shared" si="10"/>
        <v>512156</v>
      </c>
      <c r="N344" s="8">
        <f t="shared" si="11"/>
        <v>518</v>
      </c>
    </row>
    <row r="345" spans="1:14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7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6">
        <f t="shared" si="10"/>
        <v>215018</v>
      </c>
      <c r="N345" s="8">
        <f t="shared" si="11"/>
        <v>293</v>
      </c>
    </row>
    <row r="346" spans="1:14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7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6">
        <f t="shared" si="10"/>
        <v>559539</v>
      </c>
      <c r="N346" s="8">
        <f t="shared" si="11"/>
        <v>341</v>
      </c>
    </row>
    <row r="347" spans="1:14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7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6">
        <f t="shared" si="10"/>
        <v>756282</v>
      </c>
      <c r="N347" s="8">
        <f t="shared" si="11"/>
        <v>350</v>
      </c>
    </row>
    <row r="348" spans="1:14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7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6">
        <f t="shared" si="10"/>
        <v>538585</v>
      </c>
      <c r="N348" s="8">
        <f t="shared" si="11"/>
        <v>341</v>
      </c>
    </row>
    <row r="349" spans="1:14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7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6">
        <f t="shared" si="10"/>
        <v>267806</v>
      </c>
      <c r="N349" s="8">
        <f t="shared" si="11"/>
        <v>84</v>
      </c>
    </row>
    <row r="350" spans="1:14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7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6">
        <f t="shared" si="10"/>
        <v>942257</v>
      </c>
      <c r="N350" s="8">
        <f t="shared" si="11"/>
        <v>65</v>
      </c>
    </row>
    <row r="351" spans="1:14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7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6">
        <f t="shared" si="10"/>
        <v>360586</v>
      </c>
      <c r="N351" s="8">
        <f t="shared" si="11"/>
        <v>442</v>
      </c>
    </row>
    <row r="352" spans="1:14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7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6">
        <f t="shared" si="10"/>
        <v>776259</v>
      </c>
      <c r="N352" s="8">
        <f t="shared" si="11"/>
        <v>38</v>
      </c>
    </row>
    <row r="353" spans="1:14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7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6">
        <f t="shared" si="10"/>
        <v>2344490</v>
      </c>
      <c r="N353" s="8">
        <f t="shared" si="11"/>
        <v>203</v>
      </c>
    </row>
    <row r="354" spans="1:14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7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6">
        <f t="shared" si="10"/>
        <v>255818</v>
      </c>
      <c r="N354" s="8">
        <f t="shared" si="11"/>
        <v>346</v>
      </c>
    </row>
    <row r="355" spans="1:14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7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6">
        <f t="shared" si="10"/>
        <v>265438</v>
      </c>
      <c r="N355" s="8">
        <f t="shared" si="11"/>
        <v>86</v>
      </c>
    </row>
    <row r="356" spans="1:14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7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6">
        <f t="shared" si="10"/>
        <v>254979</v>
      </c>
      <c r="N356" s="8">
        <f t="shared" si="11"/>
        <v>91</v>
      </c>
    </row>
    <row r="357" spans="1:14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7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6">
        <f t="shared" si="10"/>
        <v>296959</v>
      </c>
      <c r="N357" s="8">
        <f t="shared" si="11"/>
        <v>355</v>
      </c>
    </row>
    <row r="358" spans="1:14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7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6">
        <f t="shared" si="10"/>
        <v>436312</v>
      </c>
      <c r="N358" s="8">
        <f t="shared" si="11"/>
        <v>286</v>
      </c>
    </row>
    <row r="359" spans="1:14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7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6">
        <f t="shared" si="10"/>
        <v>588431</v>
      </c>
      <c r="N359" s="8">
        <f t="shared" si="11"/>
        <v>1159</v>
      </c>
    </row>
    <row r="360" spans="1:14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7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6">
        <f t="shared" si="10"/>
        <v>527219</v>
      </c>
      <c r="N360" s="8">
        <f t="shared" si="11"/>
        <v>317</v>
      </c>
    </row>
    <row r="361" spans="1:14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7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6">
        <f t="shared" si="10"/>
        <v>550990</v>
      </c>
      <c r="N361" s="8">
        <f t="shared" si="11"/>
        <v>467</v>
      </c>
    </row>
    <row r="362" spans="1:14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7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6">
        <f t="shared" si="10"/>
        <v>1631368</v>
      </c>
      <c r="N362" s="8">
        <f t="shared" si="11"/>
        <v>331</v>
      </c>
    </row>
    <row r="363" spans="1:14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7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6">
        <f t="shared" si="10"/>
        <v>567805</v>
      </c>
      <c r="N363" s="8">
        <f t="shared" si="11"/>
        <v>365</v>
      </c>
    </row>
    <row r="364" spans="1:14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7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6">
        <f t="shared" si="10"/>
        <v>1210121</v>
      </c>
      <c r="N364" s="8">
        <f t="shared" si="11"/>
        <v>1252</v>
      </c>
    </row>
    <row r="365" spans="1:14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7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6">
        <f t="shared" si="10"/>
        <v>245357</v>
      </c>
      <c r="N365" s="8">
        <f t="shared" si="11"/>
        <v>331</v>
      </c>
    </row>
    <row r="366" spans="1:14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7">
        <v>0</v>
      </c>
      <c r="I366" t="s">
        <v>39</v>
      </c>
      <c r="J366" t="s">
        <v>17</v>
      </c>
      <c r="K366">
        <v>312</v>
      </c>
      <c r="L366" s="2">
        <v>35312</v>
      </c>
      <c r="M366" s="6">
        <f t="shared" si="10"/>
        <v>507566</v>
      </c>
      <c r="N366" s="8">
        <f t="shared" si="11"/>
        <v>312</v>
      </c>
    </row>
    <row r="367" spans="1:14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7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6">
        <f t="shared" si="10"/>
        <v>321498</v>
      </c>
      <c r="N367" s="8">
        <f t="shared" si="11"/>
        <v>421</v>
      </c>
    </row>
    <row r="368" spans="1:14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7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6">
        <f t="shared" si="10"/>
        <v>1227534</v>
      </c>
      <c r="N368" s="8">
        <f t="shared" si="11"/>
        <v>431</v>
      </c>
    </row>
    <row r="369" spans="1:14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7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6">
        <f t="shared" si="10"/>
        <v>272221</v>
      </c>
      <c r="N369" s="8">
        <f t="shared" si="11"/>
        <v>399</v>
      </c>
    </row>
    <row r="370" spans="1:14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7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6">
        <f t="shared" si="10"/>
        <v>245744</v>
      </c>
      <c r="N370" s="8">
        <f t="shared" si="11"/>
        <v>8</v>
      </c>
    </row>
    <row r="371" spans="1:14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7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6">
        <f t="shared" si="10"/>
        <v>355485</v>
      </c>
      <c r="N371" s="8">
        <f t="shared" si="11"/>
        <v>56</v>
      </c>
    </row>
    <row r="372" spans="1:14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7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6">
        <f t="shared" si="10"/>
        <v>492955</v>
      </c>
      <c r="N372" s="8">
        <f t="shared" si="11"/>
        <v>351</v>
      </c>
    </row>
    <row r="373" spans="1:14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7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6">
        <f t="shared" si="10"/>
        <v>803645</v>
      </c>
      <c r="N373" s="8">
        <f t="shared" si="11"/>
        <v>806</v>
      </c>
    </row>
    <row r="374" spans="1:14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7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6">
        <f t="shared" si="10"/>
        <v>427692</v>
      </c>
      <c r="N374" s="8">
        <f t="shared" si="11"/>
        <v>647</v>
      </c>
    </row>
    <row r="375" spans="1:14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7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6">
        <f t="shared" si="10"/>
        <v>3347335</v>
      </c>
      <c r="N375" s="8">
        <f t="shared" si="11"/>
        <v>509</v>
      </c>
    </row>
    <row r="376" spans="1:14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7">
        <v>0</v>
      </c>
      <c r="I376" t="s">
        <v>16</v>
      </c>
      <c r="J376" t="s">
        <v>24</v>
      </c>
      <c r="K376">
        <v>128.43823</v>
      </c>
      <c r="L376" s="2">
        <v>35128.43823</v>
      </c>
      <c r="M376" s="6">
        <f t="shared" si="10"/>
        <v>596058</v>
      </c>
      <c r="N376" s="8">
        <f t="shared" si="11"/>
        <v>128</v>
      </c>
    </row>
    <row r="377" spans="1:14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7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6">
        <f t="shared" si="10"/>
        <v>4479547</v>
      </c>
      <c r="N377" s="8">
        <f t="shared" si="11"/>
        <v>302</v>
      </c>
    </row>
    <row r="378" spans="1:14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7">
        <v>0</v>
      </c>
      <c r="I378" t="s">
        <v>16</v>
      </c>
      <c r="J378" t="s">
        <v>29</v>
      </c>
      <c r="K378">
        <v>480</v>
      </c>
      <c r="L378" s="2">
        <v>35480</v>
      </c>
      <c r="M378" s="6">
        <f t="shared" si="10"/>
        <v>383212</v>
      </c>
      <c r="N378" s="8">
        <f t="shared" si="11"/>
        <v>480</v>
      </c>
    </row>
    <row r="379" spans="1:14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7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6">
        <f t="shared" si="10"/>
        <v>683793</v>
      </c>
      <c r="N379" s="8">
        <f t="shared" si="11"/>
        <v>1003</v>
      </c>
    </row>
    <row r="380" spans="1:14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7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6">
        <f t="shared" si="10"/>
        <v>528527</v>
      </c>
      <c r="N380" s="8">
        <f t="shared" si="11"/>
        <v>518</v>
      </c>
    </row>
    <row r="381" spans="1:14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7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6">
        <f t="shared" si="10"/>
        <v>309651</v>
      </c>
      <c r="N381" s="8">
        <f t="shared" si="11"/>
        <v>379</v>
      </c>
    </row>
    <row r="382" spans="1:14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7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6">
        <f t="shared" si="10"/>
        <v>358971</v>
      </c>
      <c r="N382" s="8">
        <f t="shared" si="11"/>
        <v>244</v>
      </c>
    </row>
    <row r="383" spans="1:14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7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6">
        <f t="shared" si="10"/>
        <v>258241</v>
      </c>
      <c r="N383" s="8">
        <f t="shared" si="11"/>
        <v>201</v>
      </c>
    </row>
    <row r="384" spans="1:14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7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6">
        <f t="shared" si="10"/>
        <v>340392</v>
      </c>
      <c r="N384" s="8">
        <f t="shared" si="11"/>
        <v>92</v>
      </c>
    </row>
    <row r="385" spans="1:14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7">
        <v>36526</v>
      </c>
      <c r="I385" t="s">
        <v>16</v>
      </c>
      <c r="J385" t="s">
        <v>29</v>
      </c>
      <c r="K385">
        <v>552</v>
      </c>
      <c r="L385" s="2">
        <v>35552</v>
      </c>
      <c r="M385" s="6">
        <f t="shared" si="10"/>
        <v>1357568</v>
      </c>
      <c r="N385" s="8">
        <f t="shared" si="11"/>
        <v>552</v>
      </c>
    </row>
    <row r="386" spans="1:14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7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6">
        <f t="shared" si="10"/>
        <v>343613</v>
      </c>
      <c r="N386" s="8">
        <f t="shared" si="11"/>
        <v>92</v>
      </c>
    </row>
    <row r="387" spans="1:14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7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6">
        <f t="shared" ref="M387:M450" si="12">VALUE(TEXT(E387,"0.00"))</f>
        <v>2868583</v>
      </c>
      <c r="N387" s="8">
        <f t="shared" ref="N387:N450" si="13">VALUE(TEXT(K387,"0.00"))</f>
        <v>707</v>
      </c>
    </row>
    <row r="388" spans="1:14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7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6">
        <f t="shared" si="12"/>
        <v>450268</v>
      </c>
      <c r="N388" s="8">
        <f t="shared" si="13"/>
        <v>93</v>
      </c>
    </row>
    <row r="389" spans="1:14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7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6">
        <f t="shared" si="12"/>
        <v>618311</v>
      </c>
      <c r="N389" s="8">
        <f t="shared" si="13"/>
        <v>376</v>
      </c>
    </row>
    <row r="390" spans="1:14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7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6">
        <f t="shared" si="12"/>
        <v>387365</v>
      </c>
      <c r="N390" s="8">
        <f t="shared" si="13"/>
        <v>702</v>
      </c>
    </row>
    <row r="391" spans="1:14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7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6">
        <f t="shared" si="12"/>
        <v>1892933</v>
      </c>
      <c r="N391" s="8">
        <f t="shared" si="13"/>
        <v>152</v>
      </c>
    </row>
    <row r="392" spans="1:14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7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6">
        <f t="shared" si="12"/>
        <v>555330</v>
      </c>
      <c r="N392" s="8">
        <f t="shared" si="13"/>
        <v>177</v>
      </c>
    </row>
    <row r="393" spans="1:14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7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6">
        <f t="shared" si="12"/>
        <v>501126</v>
      </c>
      <c r="N393" s="8">
        <f t="shared" si="13"/>
        <v>104</v>
      </c>
    </row>
    <row r="394" spans="1:14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7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6">
        <f t="shared" si="12"/>
        <v>1044245</v>
      </c>
      <c r="N394" s="8">
        <f t="shared" si="13"/>
        <v>942</v>
      </c>
    </row>
    <row r="395" spans="1:14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7">
        <v>36526</v>
      </c>
      <c r="I395" t="s">
        <v>16</v>
      </c>
      <c r="J395" t="s">
        <v>24</v>
      </c>
      <c r="K395">
        <v>468</v>
      </c>
      <c r="L395" s="2">
        <v>35468</v>
      </c>
      <c r="M395" s="6">
        <f t="shared" si="12"/>
        <v>219962</v>
      </c>
      <c r="N395" s="8">
        <f t="shared" si="13"/>
        <v>468</v>
      </c>
    </row>
    <row r="396" spans="1:14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7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6">
        <f t="shared" si="12"/>
        <v>512317</v>
      </c>
      <c r="N396" s="8">
        <f t="shared" si="13"/>
        <v>94</v>
      </c>
    </row>
    <row r="397" spans="1:14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7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6">
        <f t="shared" si="12"/>
        <v>748431</v>
      </c>
      <c r="N397" s="8">
        <f t="shared" si="13"/>
        <v>461</v>
      </c>
    </row>
    <row r="398" spans="1:14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7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6">
        <f t="shared" si="12"/>
        <v>261302</v>
      </c>
      <c r="N398" s="8">
        <f t="shared" si="13"/>
        <v>68</v>
      </c>
    </row>
    <row r="399" spans="1:14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7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6">
        <f t="shared" si="12"/>
        <v>908064</v>
      </c>
      <c r="N399" s="8">
        <f t="shared" si="13"/>
        <v>540</v>
      </c>
    </row>
    <row r="400" spans="1:14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7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6">
        <f t="shared" si="12"/>
        <v>1377098</v>
      </c>
      <c r="N400" s="8">
        <f t="shared" si="13"/>
        <v>557</v>
      </c>
    </row>
    <row r="401" spans="1:14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7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6">
        <f t="shared" si="12"/>
        <v>287682</v>
      </c>
      <c r="N401" s="8">
        <f t="shared" si="13"/>
        <v>350</v>
      </c>
    </row>
    <row r="402" spans="1:14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7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6">
        <f t="shared" si="12"/>
        <v>540891</v>
      </c>
      <c r="N402" s="8">
        <f t="shared" si="13"/>
        <v>95</v>
      </c>
    </row>
    <row r="403" spans="1:14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7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6">
        <f t="shared" si="12"/>
        <v>677031</v>
      </c>
      <c r="N403" s="8">
        <f t="shared" si="13"/>
        <v>95</v>
      </c>
    </row>
    <row r="404" spans="1:14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7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6">
        <f t="shared" si="12"/>
        <v>2414388</v>
      </c>
      <c r="N404" s="8">
        <f t="shared" si="13"/>
        <v>626</v>
      </c>
    </row>
    <row r="405" spans="1:14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7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6">
        <f t="shared" si="12"/>
        <v>353806</v>
      </c>
      <c r="N405" s="8">
        <f t="shared" si="13"/>
        <v>322</v>
      </c>
    </row>
    <row r="406" spans="1:14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7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6">
        <f t="shared" si="12"/>
        <v>2909124</v>
      </c>
      <c r="N406" s="8">
        <f t="shared" si="13"/>
        <v>494</v>
      </c>
    </row>
    <row r="407" spans="1:14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7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6">
        <f t="shared" si="12"/>
        <v>1983420</v>
      </c>
      <c r="N407" s="8">
        <f t="shared" si="13"/>
        <v>116</v>
      </c>
    </row>
    <row r="408" spans="1:14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7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6">
        <f t="shared" si="12"/>
        <v>473137</v>
      </c>
      <c r="N408" s="8">
        <f t="shared" si="13"/>
        <v>20</v>
      </c>
    </row>
    <row r="409" spans="1:14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7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6">
        <f t="shared" si="12"/>
        <v>3553785</v>
      </c>
      <c r="N409" s="8">
        <f t="shared" si="13"/>
        <v>800</v>
      </c>
    </row>
    <row r="410" spans="1:14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7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6">
        <f t="shared" si="12"/>
        <v>3461138</v>
      </c>
      <c r="N410" s="8">
        <f t="shared" si="13"/>
        <v>523</v>
      </c>
    </row>
    <row r="411" spans="1:14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7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6">
        <f t="shared" si="12"/>
        <v>2021631</v>
      </c>
      <c r="N411" s="8">
        <f t="shared" si="13"/>
        <v>878</v>
      </c>
    </row>
    <row r="412" spans="1:14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7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6">
        <f t="shared" si="12"/>
        <v>1397652</v>
      </c>
      <c r="N412" s="8">
        <f t="shared" si="13"/>
        <v>444</v>
      </c>
    </row>
    <row r="413" spans="1:14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7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6">
        <f t="shared" si="12"/>
        <v>590409</v>
      </c>
      <c r="N413" s="8">
        <f t="shared" si="13"/>
        <v>269</v>
      </c>
    </row>
    <row r="414" spans="1:14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7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6">
        <f t="shared" si="12"/>
        <v>559584</v>
      </c>
      <c r="N414" s="8">
        <f t="shared" si="13"/>
        <v>331</v>
      </c>
    </row>
    <row r="415" spans="1:14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7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6">
        <f t="shared" si="12"/>
        <v>229430</v>
      </c>
      <c r="N415" s="8">
        <f t="shared" si="13"/>
        <v>298</v>
      </c>
    </row>
    <row r="416" spans="1:14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7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6">
        <f t="shared" si="12"/>
        <v>627391</v>
      </c>
      <c r="N416" s="8">
        <f t="shared" si="13"/>
        <v>413</v>
      </c>
    </row>
    <row r="417" spans="1:14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7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6">
        <f t="shared" si="12"/>
        <v>372673</v>
      </c>
      <c r="N417" s="8">
        <f t="shared" si="13"/>
        <v>806</v>
      </c>
    </row>
    <row r="418" spans="1:14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7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6">
        <f t="shared" si="12"/>
        <v>265671</v>
      </c>
      <c r="N418" s="8">
        <f t="shared" si="13"/>
        <v>101</v>
      </c>
    </row>
    <row r="419" spans="1:14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7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6">
        <f t="shared" si="12"/>
        <v>511068</v>
      </c>
      <c r="N419" s="8">
        <f t="shared" si="13"/>
        <v>533</v>
      </c>
    </row>
    <row r="420" spans="1:14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7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6">
        <f t="shared" si="12"/>
        <v>712660</v>
      </c>
      <c r="N420" s="8">
        <f t="shared" si="13"/>
        <v>1318</v>
      </c>
    </row>
    <row r="421" spans="1:14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7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6">
        <f t="shared" si="12"/>
        <v>460163</v>
      </c>
      <c r="N421" s="8">
        <f t="shared" si="13"/>
        <v>691</v>
      </c>
    </row>
    <row r="422" spans="1:14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7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6">
        <f t="shared" si="12"/>
        <v>915524</v>
      </c>
      <c r="N422" s="8">
        <f t="shared" si="13"/>
        <v>805</v>
      </c>
    </row>
    <row r="423" spans="1:14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7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6">
        <f t="shared" si="12"/>
        <v>1480806</v>
      </c>
      <c r="N423" s="8">
        <f t="shared" si="13"/>
        <v>298</v>
      </c>
    </row>
    <row r="424" spans="1:14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7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6">
        <f t="shared" si="12"/>
        <v>890168</v>
      </c>
      <c r="N424" s="8">
        <f t="shared" si="13"/>
        <v>1091</v>
      </c>
    </row>
    <row r="425" spans="1:14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7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6">
        <f t="shared" si="12"/>
        <v>573460</v>
      </c>
      <c r="N425" s="8">
        <f t="shared" si="13"/>
        <v>51</v>
      </c>
    </row>
    <row r="426" spans="1:14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7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6">
        <f t="shared" si="12"/>
        <v>417770</v>
      </c>
      <c r="N426" s="8">
        <f t="shared" si="13"/>
        <v>538</v>
      </c>
    </row>
    <row r="427" spans="1:14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7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6">
        <f t="shared" si="12"/>
        <v>2777629</v>
      </c>
      <c r="N427" s="8">
        <f t="shared" si="13"/>
        <v>152</v>
      </c>
    </row>
    <row r="428" spans="1:14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7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6">
        <f t="shared" si="12"/>
        <v>1036435</v>
      </c>
      <c r="N428" s="8">
        <f t="shared" si="13"/>
        <v>347</v>
      </c>
    </row>
    <row r="429" spans="1:14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7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6">
        <f t="shared" si="12"/>
        <v>785190</v>
      </c>
      <c r="N429" s="8">
        <f t="shared" si="13"/>
        <v>272</v>
      </c>
    </row>
    <row r="430" spans="1:14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7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6">
        <f t="shared" si="12"/>
        <v>477294</v>
      </c>
      <c r="N430" s="8">
        <f t="shared" si="13"/>
        <v>638</v>
      </c>
    </row>
    <row r="431" spans="1:14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7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6">
        <f t="shared" si="12"/>
        <v>1422650</v>
      </c>
      <c r="N431" s="8">
        <f t="shared" si="13"/>
        <v>850</v>
      </c>
    </row>
    <row r="432" spans="1:14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7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6">
        <f t="shared" si="12"/>
        <v>287543</v>
      </c>
      <c r="N432" s="8">
        <f t="shared" si="13"/>
        <v>110</v>
      </c>
    </row>
    <row r="433" spans="1:14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7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6">
        <f t="shared" si="12"/>
        <v>504130</v>
      </c>
      <c r="N433" s="8">
        <f t="shared" si="13"/>
        <v>114</v>
      </c>
    </row>
    <row r="434" spans="1:14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7">
        <v>0</v>
      </c>
      <c r="I434" t="s">
        <v>16</v>
      </c>
      <c r="J434" t="s">
        <v>17</v>
      </c>
      <c r="K434">
        <v>528</v>
      </c>
      <c r="L434" s="2">
        <v>35528</v>
      </c>
      <c r="M434" s="6">
        <f t="shared" si="12"/>
        <v>436293</v>
      </c>
      <c r="N434" s="8">
        <f t="shared" si="13"/>
        <v>528</v>
      </c>
    </row>
    <row r="435" spans="1:14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7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6">
        <f t="shared" si="12"/>
        <v>962452</v>
      </c>
      <c r="N435" s="8">
        <f t="shared" si="13"/>
        <v>595</v>
      </c>
    </row>
    <row r="436" spans="1:14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7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6">
        <f t="shared" si="12"/>
        <v>2191441</v>
      </c>
      <c r="N436" s="8">
        <f t="shared" si="13"/>
        <v>114</v>
      </c>
    </row>
    <row r="437" spans="1:14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7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6">
        <f t="shared" si="12"/>
        <v>694842</v>
      </c>
      <c r="N437" s="8">
        <f t="shared" si="13"/>
        <v>1337</v>
      </c>
    </row>
    <row r="438" spans="1:14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7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6">
        <f t="shared" si="12"/>
        <v>247153</v>
      </c>
      <c r="N438" s="8">
        <f t="shared" si="13"/>
        <v>114</v>
      </c>
    </row>
    <row r="439" spans="1:14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7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6">
        <f t="shared" si="12"/>
        <v>2190391</v>
      </c>
      <c r="N439" s="8">
        <f t="shared" si="13"/>
        <v>125</v>
      </c>
    </row>
    <row r="440" spans="1:14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7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6">
        <f t="shared" si="12"/>
        <v>902882</v>
      </c>
      <c r="N440" s="8">
        <f t="shared" si="13"/>
        <v>235</v>
      </c>
    </row>
    <row r="441" spans="1:14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7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6">
        <f t="shared" si="12"/>
        <v>530376</v>
      </c>
      <c r="N441" s="8">
        <f t="shared" si="13"/>
        <v>395</v>
      </c>
    </row>
    <row r="442" spans="1:14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7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6">
        <f t="shared" si="12"/>
        <v>2070826</v>
      </c>
      <c r="N442" s="8">
        <f t="shared" si="13"/>
        <v>115</v>
      </c>
    </row>
    <row r="443" spans="1:14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7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6">
        <f t="shared" si="12"/>
        <v>512377</v>
      </c>
      <c r="N443" s="8">
        <f t="shared" si="13"/>
        <v>773</v>
      </c>
    </row>
    <row r="444" spans="1:14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7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6">
        <f t="shared" si="12"/>
        <v>949234</v>
      </c>
      <c r="N444" s="8">
        <f t="shared" si="13"/>
        <v>634</v>
      </c>
    </row>
    <row r="445" spans="1:14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7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6">
        <f t="shared" si="12"/>
        <v>820486</v>
      </c>
      <c r="N445" s="8">
        <f t="shared" si="13"/>
        <v>350</v>
      </c>
    </row>
    <row r="446" spans="1:14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7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6">
        <f t="shared" si="12"/>
        <v>987730</v>
      </c>
      <c r="N446" s="8">
        <f t="shared" si="13"/>
        <v>169</v>
      </c>
    </row>
    <row r="447" spans="1:14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7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6">
        <f t="shared" si="12"/>
        <v>481501</v>
      </c>
      <c r="N447" s="8">
        <f t="shared" si="13"/>
        <v>307</v>
      </c>
    </row>
    <row r="448" spans="1:14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7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6">
        <f t="shared" si="12"/>
        <v>627701</v>
      </c>
      <c r="N448" s="8">
        <f t="shared" si="13"/>
        <v>634</v>
      </c>
    </row>
    <row r="449" spans="1:14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7">
        <v>0</v>
      </c>
      <c r="I449" t="s">
        <v>39</v>
      </c>
      <c r="J449" t="s">
        <v>29</v>
      </c>
      <c r="K449">
        <v>504</v>
      </c>
      <c r="L449" s="2">
        <v>35504</v>
      </c>
      <c r="M449" s="6">
        <f t="shared" si="12"/>
        <v>826064</v>
      </c>
      <c r="N449" s="8">
        <f t="shared" si="13"/>
        <v>504</v>
      </c>
    </row>
    <row r="450" spans="1:14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7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6">
        <f t="shared" si="12"/>
        <v>254945</v>
      </c>
      <c r="N450" s="8">
        <f t="shared" si="13"/>
        <v>846</v>
      </c>
    </row>
    <row r="451" spans="1:14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7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6">
        <f t="shared" ref="M451:M514" si="14">VALUE(TEXT(E451,"0.00"))</f>
        <v>1131809</v>
      </c>
      <c r="N451" s="8">
        <f t="shared" ref="N451:N514" si="15">VALUE(TEXT(K451,"0.00"))</f>
        <v>116</v>
      </c>
    </row>
    <row r="452" spans="1:14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7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6">
        <f t="shared" si="14"/>
        <v>380392</v>
      </c>
      <c r="N452" s="8">
        <f t="shared" si="15"/>
        <v>668</v>
      </c>
    </row>
    <row r="453" spans="1:14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7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6">
        <f t="shared" si="14"/>
        <v>863540</v>
      </c>
      <c r="N453" s="8">
        <f t="shared" si="15"/>
        <v>701</v>
      </c>
    </row>
    <row r="454" spans="1:14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7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6">
        <f t="shared" si="14"/>
        <v>551056</v>
      </c>
      <c r="N454" s="8">
        <f t="shared" si="15"/>
        <v>526</v>
      </c>
    </row>
    <row r="455" spans="1:14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7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6">
        <f t="shared" si="14"/>
        <v>358588</v>
      </c>
      <c r="N455" s="8">
        <f t="shared" si="15"/>
        <v>25</v>
      </c>
    </row>
    <row r="456" spans="1:14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7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6">
        <f t="shared" si="14"/>
        <v>488925</v>
      </c>
      <c r="N456" s="8">
        <f t="shared" si="15"/>
        <v>375</v>
      </c>
    </row>
    <row r="457" spans="1:14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7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6">
        <f t="shared" si="14"/>
        <v>275694</v>
      </c>
      <c r="N457" s="8">
        <f t="shared" si="15"/>
        <v>418</v>
      </c>
    </row>
    <row r="458" spans="1:14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7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6">
        <f t="shared" si="14"/>
        <v>328955</v>
      </c>
      <c r="N458" s="8">
        <f t="shared" si="15"/>
        <v>398</v>
      </c>
    </row>
    <row r="459" spans="1:14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7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6">
        <f t="shared" si="14"/>
        <v>1093718</v>
      </c>
      <c r="N459" s="8">
        <f t="shared" si="15"/>
        <v>939</v>
      </c>
    </row>
    <row r="460" spans="1:14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7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6">
        <f t="shared" si="14"/>
        <v>737557</v>
      </c>
      <c r="N460" s="8">
        <f t="shared" si="15"/>
        <v>339</v>
      </c>
    </row>
    <row r="461" spans="1:14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7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6">
        <f t="shared" si="14"/>
        <v>1011078</v>
      </c>
      <c r="N461" s="8">
        <f t="shared" si="15"/>
        <v>339</v>
      </c>
    </row>
    <row r="462" spans="1:14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7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6">
        <f t="shared" si="14"/>
        <v>511941</v>
      </c>
      <c r="N462" s="8">
        <f t="shared" si="15"/>
        <v>303</v>
      </c>
    </row>
    <row r="463" spans="1:14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7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6">
        <f t="shared" si="14"/>
        <v>853383</v>
      </c>
      <c r="N463" s="8">
        <f t="shared" si="15"/>
        <v>619</v>
      </c>
    </row>
    <row r="464" spans="1:14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7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6">
        <f t="shared" si="14"/>
        <v>222477</v>
      </c>
      <c r="N464" s="8">
        <f t="shared" si="15"/>
        <v>326</v>
      </c>
    </row>
    <row r="465" spans="1:14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7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6">
        <f t="shared" si="14"/>
        <v>804280</v>
      </c>
      <c r="N465" s="8">
        <f t="shared" si="15"/>
        <v>260</v>
      </c>
    </row>
    <row r="466" spans="1:14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7">
        <v>0</v>
      </c>
      <c r="I466" t="s">
        <v>16</v>
      </c>
      <c r="J466" t="s">
        <v>17</v>
      </c>
      <c r="K466">
        <v>336</v>
      </c>
      <c r="L466" s="2">
        <v>35336</v>
      </c>
      <c r="M466" s="6">
        <f t="shared" si="14"/>
        <v>255444</v>
      </c>
      <c r="N466" s="8">
        <f t="shared" si="15"/>
        <v>336</v>
      </c>
    </row>
    <row r="467" spans="1:14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7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6">
        <f t="shared" si="14"/>
        <v>1807394</v>
      </c>
      <c r="N467" s="8">
        <f t="shared" si="15"/>
        <v>365</v>
      </c>
    </row>
    <row r="468" spans="1:14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7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6">
        <f t="shared" si="14"/>
        <v>243051</v>
      </c>
      <c r="N468" s="8">
        <f t="shared" si="15"/>
        <v>179</v>
      </c>
    </row>
    <row r="469" spans="1:14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7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6">
        <f t="shared" si="14"/>
        <v>316766</v>
      </c>
      <c r="N469" s="8">
        <f t="shared" si="15"/>
        <v>662</v>
      </c>
    </row>
    <row r="470" spans="1:14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7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6">
        <f t="shared" si="14"/>
        <v>546560</v>
      </c>
      <c r="N470" s="8">
        <f t="shared" si="15"/>
        <v>76</v>
      </c>
    </row>
    <row r="471" spans="1:14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7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6">
        <f t="shared" si="14"/>
        <v>1035751</v>
      </c>
      <c r="N471" s="8">
        <f t="shared" si="15"/>
        <v>307</v>
      </c>
    </row>
    <row r="472" spans="1:14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7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6">
        <f t="shared" si="14"/>
        <v>253781</v>
      </c>
      <c r="N472" s="8">
        <f t="shared" si="15"/>
        <v>84</v>
      </c>
    </row>
    <row r="473" spans="1:14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7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6">
        <f t="shared" si="14"/>
        <v>282195</v>
      </c>
      <c r="N473" s="8">
        <f t="shared" si="15"/>
        <v>139</v>
      </c>
    </row>
    <row r="474" spans="1:14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7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6">
        <f t="shared" si="14"/>
        <v>775713</v>
      </c>
      <c r="N474" s="8">
        <f t="shared" si="15"/>
        <v>607</v>
      </c>
    </row>
    <row r="475" spans="1:14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7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6">
        <f t="shared" si="14"/>
        <v>407913</v>
      </c>
      <c r="N475" s="8">
        <f t="shared" si="15"/>
        <v>631</v>
      </c>
    </row>
    <row r="476" spans="1:14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7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6">
        <f t="shared" si="14"/>
        <v>595554</v>
      </c>
      <c r="N476" s="8">
        <f t="shared" si="15"/>
        <v>628</v>
      </c>
    </row>
    <row r="477" spans="1:14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7">
        <v>0</v>
      </c>
      <c r="I477" t="s">
        <v>16</v>
      </c>
      <c r="J477" t="s">
        <v>24</v>
      </c>
      <c r="K477">
        <v>336</v>
      </c>
      <c r="L477" s="2">
        <v>35336</v>
      </c>
      <c r="M477" s="6">
        <f t="shared" si="14"/>
        <v>1415861</v>
      </c>
      <c r="N477" s="8">
        <f t="shared" si="15"/>
        <v>336</v>
      </c>
    </row>
    <row r="478" spans="1:14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7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6">
        <f t="shared" si="14"/>
        <v>848724</v>
      </c>
      <c r="N478" s="8">
        <f t="shared" si="15"/>
        <v>427</v>
      </c>
    </row>
    <row r="479" spans="1:14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7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6">
        <f t="shared" si="14"/>
        <v>628548</v>
      </c>
      <c r="N479" s="8">
        <f t="shared" si="15"/>
        <v>91</v>
      </c>
    </row>
    <row r="480" spans="1:14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7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6">
        <f t="shared" si="14"/>
        <v>1147348</v>
      </c>
      <c r="N480" s="8">
        <f t="shared" si="15"/>
        <v>318</v>
      </c>
    </row>
    <row r="481" spans="1:14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7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6">
        <f t="shared" si="14"/>
        <v>494263</v>
      </c>
      <c r="N481" s="8">
        <f t="shared" si="15"/>
        <v>118</v>
      </c>
    </row>
    <row r="482" spans="1:14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7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6">
        <f t="shared" si="14"/>
        <v>2359468</v>
      </c>
      <c r="N482" s="8">
        <f t="shared" si="15"/>
        <v>86</v>
      </c>
    </row>
    <row r="483" spans="1:14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7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6">
        <f t="shared" si="14"/>
        <v>257251</v>
      </c>
      <c r="N483" s="8">
        <f t="shared" si="15"/>
        <v>118</v>
      </c>
    </row>
    <row r="484" spans="1:14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7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6">
        <f t="shared" si="14"/>
        <v>538090</v>
      </c>
      <c r="N484" s="8">
        <f t="shared" si="15"/>
        <v>322</v>
      </c>
    </row>
    <row r="485" spans="1:14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7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6">
        <f t="shared" si="14"/>
        <v>477055</v>
      </c>
      <c r="N485" s="8">
        <f t="shared" si="15"/>
        <v>363</v>
      </c>
    </row>
    <row r="486" spans="1:14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7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6">
        <f t="shared" si="14"/>
        <v>675665</v>
      </c>
      <c r="N486" s="8">
        <f t="shared" si="15"/>
        <v>222</v>
      </c>
    </row>
    <row r="487" spans="1:14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7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6">
        <f t="shared" si="14"/>
        <v>593601</v>
      </c>
      <c r="N487" s="8">
        <f t="shared" si="15"/>
        <v>980</v>
      </c>
    </row>
    <row r="488" spans="1:14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7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6">
        <f t="shared" si="14"/>
        <v>357076</v>
      </c>
      <c r="N488" s="8">
        <f t="shared" si="15"/>
        <v>615</v>
      </c>
    </row>
    <row r="489" spans="1:14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7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6">
        <f t="shared" si="14"/>
        <v>601996</v>
      </c>
      <c r="N489" s="8">
        <f t="shared" si="15"/>
        <v>662</v>
      </c>
    </row>
    <row r="490" spans="1:14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7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6">
        <f t="shared" si="14"/>
        <v>542686</v>
      </c>
      <c r="N490" s="8">
        <f t="shared" si="15"/>
        <v>331</v>
      </c>
    </row>
    <row r="491" spans="1:14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7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6">
        <f t="shared" si="14"/>
        <v>273031</v>
      </c>
      <c r="N491" s="8">
        <f t="shared" si="15"/>
        <v>145</v>
      </c>
    </row>
    <row r="492" spans="1:14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7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6">
        <f t="shared" si="14"/>
        <v>498268</v>
      </c>
      <c r="N492" s="8">
        <f t="shared" si="15"/>
        <v>374</v>
      </c>
    </row>
    <row r="493" spans="1:14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7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6">
        <f t="shared" si="14"/>
        <v>876927</v>
      </c>
      <c r="N493" s="8">
        <f t="shared" si="15"/>
        <v>355</v>
      </c>
    </row>
    <row r="494" spans="1:14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7">
        <v>0</v>
      </c>
      <c r="I494" t="s">
        <v>16</v>
      </c>
      <c r="J494" t="s">
        <v>24</v>
      </c>
      <c r="K494">
        <v>528</v>
      </c>
      <c r="L494" s="2">
        <v>35528</v>
      </c>
      <c r="M494" s="6">
        <f t="shared" si="14"/>
        <v>422061</v>
      </c>
      <c r="N494" s="8">
        <f t="shared" si="15"/>
        <v>528</v>
      </c>
    </row>
    <row r="495" spans="1:14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7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6">
        <f t="shared" si="14"/>
        <v>1153751</v>
      </c>
      <c r="N495" s="8">
        <f t="shared" si="15"/>
        <v>619</v>
      </c>
    </row>
    <row r="496" spans="1:14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7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6">
        <f t="shared" si="14"/>
        <v>588718</v>
      </c>
      <c r="N496" s="8">
        <f t="shared" si="15"/>
        <v>81</v>
      </c>
    </row>
    <row r="497" spans="1:14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7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6">
        <f t="shared" si="14"/>
        <v>470058</v>
      </c>
      <c r="N497" s="8">
        <f t="shared" si="15"/>
        <v>562</v>
      </c>
    </row>
    <row r="498" spans="1:14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7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6">
        <f t="shared" si="14"/>
        <v>1096396</v>
      </c>
      <c r="N498" s="8">
        <f t="shared" si="15"/>
        <v>1325</v>
      </c>
    </row>
    <row r="499" spans="1:14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7">
        <v>0</v>
      </c>
      <c r="I499" t="s">
        <v>16</v>
      </c>
      <c r="J499" t="s">
        <v>17</v>
      </c>
      <c r="K499">
        <v>504</v>
      </c>
      <c r="L499" s="2">
        <v>35504</v>
      </c>
      <c r="M499" s="6">
        <f t="shared" si="14"/>
        <v>252317</v>
      </c>
      <c r="N499" s="8">
        <f t="shared" si="15"/>
        <v>504</v>
      </c>
    </row>
    <row r="500" spans="1:14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7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6">
        <f t="shared" si="14"/>
        <v>375780</v>
      </c>
      <c r="N500" s="8">
        <f t="shared" si="15"/>
        <v>461</v>
      </c>
    </row>
    <row r="501" spans="1:14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7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6">
        <f t="shared" si="14"/>
        <v>1294173</v>
      </c>
      <c r="N501" s="8">
        <f t="shared" si="15"/>
        <v>469</v>
      </c>
    </row>
    <row r="502" spans="1:14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7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6">
        <f t="shared" si="14"/>
        <v>376447</v>
      </c>
      <c r="N502" s="8">
        <f t="shared" si="15"/>
        <v>842</v>
      </c>
    </row>
    <row r="503" spans="1:14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7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6">
        <f t="shared" si="14"/>
        <v>688956</v>
      </c>
      <c r="N503" s="8">
        <f t="shared" si="15"/>
        <v>475</v>
      </c>
    </row>
    <row r="504" spans="1:14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7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6">
        <f t="shared" si="14"/>
        <v>362345</v>
      </c>
      <c r="N504" s="8">
        <f t="shared" si="15"/>
        <v>1172</v>
      </c>
    </row>
    <row r="505" spans="1:14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7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6">
        <f t="shared" si="14"/>
        <v>758211</v>
      </c>
      <c r="N505" s="8">
        <f t="shared" si="15"/>
        <v>268</v>
      </c>
    </row>
    <row r="506" spans="1:14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7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6">
        <f t="shared" si="14"/>
        <v>827775</v>
      </c>
      <c r="N506" s="8">
        <f t="shared" si="15"/>
        <v>494</v>
      </c>
    </row>
    <row r="507" spans="1:14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7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6">
        <f t="shared" si="14"/>
        <v>257646</v>
      </c>
      <c r="N507" s="8">
        <f t="shared" si="15"/>
        <v>475</v>
      </c>
    </row>
    <row r="508" spans="1:14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7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6">
        <f t="shared" si="14"/>
        <v>820539</v>
      </c>
      <c r="N508" s="8">
        <f t="shared" si="15"/>
        <v>139</v>
      </c>
    </row>
    <row r="509" spans="1:14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7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6">
        <f t="shared" si="14"/>
        <v>1958247</v>
      </c>
      <c r="N509" s="8">
        <f t="shared" si="15"/>
        <v>346</v>
      </c>
    </row>
    <row r="510" spans="1:14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7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6">
        <f t="shared" si="14"/>
        <v>648153</v>
      </c>
      <c r="N510" s="8">
        <f t="shared" si="15"/>
        <v>467</v>
      </c>
    </row>
    <row r="511" spans="1:14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7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6">
        <f t="shared" si="14"/>
        <v>259931</v>
      </c>
      <c r="N511" s="8">
        <f t="shared" si="15"/>
        <v>468</v>
      </c>
    </row>
    <row r="512" spans="1:14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7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6">
        <f t="shared" si="14"/>
        <v>983034</v>
      </c>
      <c r="N512" s="8">
        <f t="shared" si="15"/>
        <v>1214</v>
      </c>
    </row>
    <row r="513" spans="1:14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7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6">
        <f t="shared" si="14"/>
        <v>1044265</v>
      </c>
      <c r="N513" s="8">
        <f t="shared" si="15"/>
        <v>667</v>
      </c>
    </row>
    <row r="514" spans="1:14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7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6">
        <f t="shared" si="14"/>
        <v>3605754</v>
      </c>
      <c r="N514" s="8">
        <f t="shared" si="15"/>
        <v>192</v>
      </c>
    </row>
    <row r="515" spans="1:14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7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6">
        <f t="shared" ref="M515:M578" si="16">VALUE(TEXT(E515,"0.00"))</f>
        <v>847004</v>
      </c>
      <c r="N515" s="8">
        <f t="shared" ref="N515:N578" si="17">VALUE(TEXT(K515,"0.00"))</f>
        <v>620</v>
      </c>
    </row>
    <row r="516" spans="1:14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7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6">
        <f t="shared" si="16"/>
        <v>827879</v>
      </c>
      <c r="N516" s="8">
        <f t="shared" si="17"/>
        <v>1003</v>
      </c>
    </row>
    <row r="517" spans="1:14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7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6">
        <f t="shared" si="16"/>
        <v>478893</v>
      </c>
      <c r="N517" s="8">
        <f t="shared" si="17"/>
        <v>322</v>
      </c>
    </row>
    <row r="518" spans="1:14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7">
        <v>0</v>
      </c>
      <c r="I518" t="s">
        <v>39</v>
      </c>
      <c r="J518" t="s">
        <v>17</v>
      </c>
      <c r="K518">
        <v>384</v>
      </c>
      <c r="L518" s="2">
        <v>35384</v>
      </c>
      <c r="M518" s="6">
        <f t="shared" si="16"/>
        <v>308800</v>
      </c>
      <c r="N518" s="8">
        <f t="shared" si="17"/>
        <v>384</v>
      </c>
    </row>
    <row r="519" spans="1:14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7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6">
        <f t="shared" si="16"/>
        <v>444374</v>
      </c>
      <c r="N519" s="8">
        <f t="shared" si="17"/>
        <v>252</v>
      </c>
    </row>
    <row r="520" spans="1:14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7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6">
        <f t="shared" si="16"/>
        <v>798409</v>
      </c>
      <c r="N520" s="8">
        <f t="shared" si="17"/>
        <v>866</v>
      </c>
    </row>
    <row r="521" spans="1:14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7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6">
        <f t="shared" si="16"/>
        <v>718097</v>
      </c>
      <c r="N521" s="8">
        <f t="shared" si="17"/>
        <v>1211</v>
      </c>
    </row>
    <row r="522" spans="1:14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7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6">
        <f t="shared" si="16"/>
        <v>1565603</v>
      </c>
      <c r="N522" s="8">
        <f t="shared" si="17"/>
        <v>600</v>
      </c>
    </row>
    <row r="523" spans="1:14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7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6">
        <f t="shared" si="16"/>
        <v>578018</v>
      </c>
      <c r="N523" s="8">
        <f t="shared" si="17"/>
        <v>788</v>
      </c>
    </row>
    <row r="524" spans="1:14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7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6">
        <f t="shared" si="16"/>
        <v>2071494</v>
      </c>
      <c r="N524" s="8">
        <f t="shared" si="17"/>
        <v>2028</v>
      </c>
    </row>
    <row r="525" spans="1:14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7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6">
        <f t="shared" si="16"/>
        <v>533735</v>
      </c>
      <c r="N525" s="8">
        <f t="shared" si="17"/>
        <v>619</v>
      </c>
    </row>
    <row r="526" spans="1:14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7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6">
        <f t="shared" si="16"/>
        <v>505083</v>
      </c>
      <c r="N526" s="8">
        <f t="shared" si="17"/>
        <v>73</v>
      </c>
    </row>
    <row r="527" spans="1:14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7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6">
        <f t="shared" si="16"/>
        <v>511662</v>
      </c>
      <c r="N527" s="8">
        <f t="shared" si="17"/>
        <v>450</v>
      </c>
    </row>
    <row r="528" spans="1:14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7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6">
        <f t="shared" si="16"/>
        <v>726874</v>
      </c>
      <c r="N528" s="8">
        <f t="shared" si="17"/>
        <v>302</v>
      </c>
    </row>
    <row r="529" spans="1:14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7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6">
        <f t="shared" si="16"/>
        <v>261661</v>
      </c>
      <c r="N529" s="8">
        <f t="shared" si="17"/>
        <v>317</v>
      </c>
    </row>
    <row r="530" spans="1:14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7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6">
        <f t="shared" si="16"/>
        <v>373844</v>
      </c>
      <c r="N530" s="8">
        <f t="shared" si="17"/>
        <v>490</v>
      </c>
    </row>
    <row r="531" spans="1:14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7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6">
        <f t="shared" si="16"/>
        <v>272536</v>
      </c>
      <c r="N531" s="8">
        <f t="shared" si="17"/>
        <v>57</v>
      </c>
    </row>
    <row r="532" spans="1:14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7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6">
        <f t="shared" si="16"/>
        <v>545386</v>
      </c>
      <c r="N532" s="8">
        <f t="shared" si="17"/>
        <v>259</v>
      </c>
    </row>
    <row r="533" spans="1:14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7">
        <v>0</v>
      </c>
      <c r="I533" t="s">
        <v>16</v>
      </c>
      <c r="J533" t="s">
        <v>24</v>
      </c>
      <c r="K533">
        <v>456</v>
      </c>
      <c r="L533" s="2">
        <v>35456</v>
      </c>
      <c r="M533" s="6">
        <f t="shared" si="16"/>
        <v>684615</v>
      </c>
      <c r="N533" s="8">
        <f t="shared" si="17"/>
        <v>456</v>
      </c>
    </row>
    <row r="534" spans="1:14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7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6">
        <f t="shared" si="16"/>
        <v>617291</v>
      </c>
      <c r="N534" s="8">
        <f t="shared" si="17"/>
        <v>365</v>
      </c>
    </row>
    <row r="535" spans="1:14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7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6">
        <f t="shared" si="16"/>
        <v>1034632</v>
      </c>
      <c r="N535" s="8">
        <f t="shared" si="17"/>
        <v>470</v>
      </c>
    </row>
    <row r="536" spans="1:14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7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6">
        <f t="shared" si="16"/>
        <v>699701</v>
      </c>
      <c r="N536" s="8">
        <f t="shared" si="17"/>
        <v>299</v>
      </c>
    </row>
    <row r="537" spans="1:14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7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6">
        <f t="shared" si="16"/>
        <v>419626</v>
      </c>
      <c r="N537" s="8">
        <f t="shared" si="17"/>
        <v>699</v>
      </c>
    </row>
    <row r="538" spans="1:14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7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6">
        <f t="shared" si="16"/>
        <v>785811</v>
      </c>
      <c r="N538" s="8">
        <f t="shared" si="17"/>
        <v>118</v>
      </c>
    </row>
    <row r="539" spans="1:14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7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6">
        <f t="shared" si="16"/>
        <v>606434</v>
      </c>
      <c r="N539" s="8">
        <f t="shared" si="17"/>
        <v>545</v>
      </c>
    </row>
    <row r="540" spans="1:14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7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6">
        <f t="shared" si="16"/>
        <v>1749752</v>
      </c>
      <c r="N540" s="8">
        <f t="shared" si="17"/>
        <v>350</v>
      </c>
    </row>
    <row r="541" spans="1:14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7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6">
        <f t="shared" si="16"/>
        <v>897065</v>
      </c>
      <c r="N541" s="8">
        <f t="shared" si="17"/>
        <v>328</v>
      </c>
    </row>
    <row r="542" spans="1:14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7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6">
        <f t="shared" si="16"/>
        <v>592312</v>
      </c>
      <c r="N542" s="8">
        <f t="shared" si="17"/>
        <v>67</v>
      </c>
    </row>
    <row r="543" spans="1:14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7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6">
        <f t="shared" si="16"/>
        <v>3585060</v>
      </c>
      <c r="N543" s="8">
        <f t="shared" si="17"/>
        <v>1382</v>
      </c>
    </row>
    <row r="544" spans="1:14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7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6">
        <f t="shared" si="16"/>
        <v>870985</v>
      </c>
      <c r="N544" s="8">
        <f t="shared" si="17"/>
        <v>121</v>
      </c>
    </row>
    <row r="545" spans="1:14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7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6">
        <f t="shared" si="16"/>
        <v>1330934</v>
      </c>
      <c r="N545" s="8">
        <f t="shared" si="17"/>
        <v>610</v>
      </c>
    </row>
    <row r="546" spans="1:14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7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6">
        <f t="shared" si="16"/>
        <v>452850</v>
      </c>
      <c r="N546" s="8">
        <f t="shared" si="17"/>
        <v>542</v>
      </c>
    </row>
    <row r="547" spans="1:14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7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6">
        <f t="shared" si="16"/>
        <v>279191</v>
      </c>
      <c r="N547" s="8">
        <f t="shared" si="17"/>
        <v>533</v>
      </c>
    </row>
    <row r="548" spans="1:14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7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6">
        <f t="shared" si="16"/>
        <v>443441</v>
      </c>
      <c r="N548" s="8">
        <f t="shared" si="17"/>
        <v>126</v>
      </c>
    </row>
    <row r="549" spans="1:14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7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6">
        <f t="shared" si="16"/>
        <v>799601</v>
      </c>
      <c r="N549" s="8">
        <f t="shared" si="17"/>
        <v>655</v>
      </c>
    </row>
    <row r="550" spans="1:14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7">
        <v>36557</v>
      </c>
      <c r="I550" t="s">
        <v>16</v>
      </c>
      <c r="J550" t="s">
        <v>17</v>
      </c>
      <c r="K550">
        <v>312</v>
      </c>
      <c r="L550" s="2">
        <v>35312</v>
      </c>
      <c r="M550" s="6">
        <f t="shared" si="16"/>
        <v>512974</v>
      </c>
      <c r="N550" s="8">
        <f t="shared" si="17"/>
        <v>312</v>
      </c>
    </row>
    <row r="551" spans="1:14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7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6">
        <f t="shared" si="16"/>
        <v>569718</v>
      </c>
      <c r="N551" s="8">
        <f t="shared" si="17"/>
        <v>346</v>
      </c>
    </row>
    <row r="552" spans="1:14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7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6">
        <f t="shared" si="16"/>
        <v>921713</v>
      </c>
      <c r="N552" s="8">
        <f t="shared" si="17"/>
        <v>673</v>
      </c>
    </row>
    <row r="553" spans="1:14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7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6">
        <f t="shared" si="16"/>
        <v>1020893</v>
      </c>
      <c r="N553" s="8">
        <f t="shared" si="17"/>
        <v>619</v>
      </c>
    </row>
    <row r="554" spans="1:14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7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6">
        <f t="shared" si="16"/>
        <v>417069</v>
      </c>
      <c r="N554" s="8">
        <f t="shared" si="17"/>
        <v>514</v>
      </c>
    </row>
    <row r="555" spans="1:14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7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6">
        <f t="shared" si="16"/>
        <v>450541</v>
      </c>
      <c r="N555" s="8">
        <f t="shared" si="17"/>
        <v>24</v>
      </c>
    </row>
    <row r="556" spans="1:14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7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6">
        <f t="shared" si="16"/>
        <v>310757</v>
      </c>
      <c r="N556" s="8">
        <f t="shared" si="17"/>
        <v>451</v>
      </c>
    </row>
    <row r="557" spans="1:14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7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6">
        <f t="shared" si="16"/>
        <v>552867</v>
      </c>
      <c r="N557" s="8">
        <f t="shared" si="17"/>
        <v>350</v>
      </c>
    </row>
    <row r="558" spans="1:14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7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6">
        <f t="shared" si="16"/>
        <v>504587</v>
      </c>
      <c r="N558" s="8">
        <f t="shared" si="17"/>
        <v>307</v>
      </c>
    </row>
    <row r="559" spans="1:14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7">
        <v>36586</v>
      </c>
      <c r="I559" t="s">
        <v>28</v>
      </c>
      <c r="J559" t="s">
        <v>17</v>
      </c>
      <c r="K559">
        <v>408</v>
      </c>
      <c r="L559" s="2">
        <v>35408</v>
      </c>
      <c r="M559" s="6">
        <f t="shared" si="16"/>
        <v>296272</v>
      </c>
      <c r="N559" s="8">
        <f t="shared" si="17"/>
        <v>408</v>
      </c>
    </row>
    <row r="560" spans="1:14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7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6">
        <f t="shared" si="16"/>
        <v>866596</v>
      </c>
      <c r="N560" s="8">
        <f t="shared" si="17"/>
        <v>232</v>
      </c>
    </row>
    <row r="561" spans="1:14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7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6">
        <f t="shared" si="16"/>
        <v>1141344</v>
      </c>
      <c r="N561" s="8">
        <f t="shared" si="17"/>
        <v>773</v>
      </c>
    </row>
    <row r="562" spans="1:14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7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6">
        <f t="shared" si="16"/>
        <v>1548843</v>
      </c>
      <c r="N562" s="8">
        <f t="shared" si="17"/>
        <v>665</v>
      </c>
    </row>
    <row r="563" spans="1:14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7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6">
        <f t="shared" si="16"/>
        <v>886115</v>
      </c>
      <c r="N563" s="8">
        <f t="shared" si="17"/>
        <v>129</v>
      </c>
    </row>
    <row r="564" spans="1:14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7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6">
        <f t="shared" si="16"/>
        <v>593474</v>
      </c>
      <c r="N564" s="8">
        <f t="shared" si="17"/>
        <v>46</v>
      </c>
    </row>
    <row r="565" spans="1:14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7">
        <v>0</v>
      </c>
      <c r="I565" t="s">
        <v>16</v>
      </c>
      <c r="J565" t="s">
        <v>17</v>
      </c>
      <c r="K565">
        <v>432</v>
      </c>
      <c r="L565" s="2">
        <v>35432</v>
      </c>
      <c r="M565" s="6">
        <f t="shared" si="16"/>
        <v>354323</v>
      </c>
      <c r="N565" s="8">
        <f t="shared" si="17"/>
        <v>432</v>
      </c>
    </row>
    <row r="566" spans="1:14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7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6">
        <f t="shared" si="16"/>
        <v>349003</v>
      </c>
      <c r="N566" s="8">
        <f t="shared" si="17"/>
        <v>78</v>
      </c>
    </row>
    <row r="567" spans="1:14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7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6">
        <f t="shared" si="16"/>
        <v>368310</v>
      </c>
      <c r="N567" s="8">
        <f t="shared" si="17"/>
        <v>564</v>
      </c>
    </row>
    <row r="568" spans="1:14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7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6">
        <f t="shared" si="16"/>
        <v>598977</v>
      </c>
      <c r="N568" s="8">
        <f t="shared" si="17"/>
        <v>739</v>
      </c>
    </row>
    <row r="569" spans="1:14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7">
        <v>0</v>
      </c>
      <c r="I569" t="s">
        <v>16</v>
      </c>
      <c r="J569" t="s">
        <v>29</v>
      </c>
      <c r="K569">
        <v>792</v>
      </c>
      <c r="L569" s="2">
        <v>35792</v>
      </c>
      <c r="M569" s="6">
        <f t="shared" si="16"/>
        <v>1250084</v>
      </c>
      <c r="N569" s="8">
        <f t="shared" si="17"/>
        <v>792</v>
      </c>
    </row>
    <row r="570" spans="1:14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7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6">
        <f t="shared" si="16"/>
        <v>860916</v>
      </c>
      <c r="N570" s="8">
        <f t="shared" si="17"/>
        <v>289</v>
      </c>
    </row>
    <row r="571" spans="1:14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7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6">
        <f t="shared" si="16"/>
        <v>249746</v>
      </c>
      <c r="N571" s="8">
        <f t="shared" si="17"/>
        <v>156</v>
      </c>
    </row>
    <row r="572" spans="1:14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7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6">
        <f t="shared" si="16"/>
        <v>701918</v>
      </c>
      <c r="N572" s="8">
        <f t="shared" si="17"/>
        <v>302</v>
      </c>
    </row>
    <row r="573" spans="1:14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7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6">
        <f t="shared" si="16"/>
        <v>538793</v>
      </c>
      <c r="N573" s="8">
        <f t="shared" si="17"/>
        <v>327</v>
      </c>
    </row>
    <row r="574" spans="1:14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7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6">
        <f t="shared" si="16"/>
        <v>616556</v>
      </c>
      <c r="N574" s="8">
        <f t="shared" si="17"/>
        <v>654</v>
      </c>
    </row>
    <row r="575" spans="1:14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7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6">
        <f t="shared" si="16"/>
        <v>273020</v>
      </c>
      <c r="N575" s="8">
        <f t="shared" si="17"/>
        <v>104</v>
      </c>
    </row>
    <row r="576" spans="1:14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7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6">
        <f t="shared" si="16"/>
        <v>516212</v>
      </c>
      <c r="N576" s="8">
        <f t="shared" si="17"/>
        <v>810</v>
      </c>
    </row>
    <row r="577" spans="1:14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7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6">
        <f t="shared" si="16"/>
        <v>793706</v>
      </c>
      <c r="N577" s="8">
        <f t="shared" si="17"/>
        <v>322</v>
      </c>
    </row>
    <row r="578" spans="1:14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7">
        <v>36557</v>
      </c>
      <c r="I578" t="s">
        <v>16</v>
      </c>
      <c r="J578" t="s">
        <v>78</v>
      </c>
      <c r="K578">
        <v>528</v>
      </c>
      <c r="L578" s="2">
        <v>35528</v>
      </c>
      <c r="M578" s="6">
        <f t="shared" si="16"/>
        <v>860816</v>
      </c>
      <c r="N578" s="8">
        <f t="shared" si="17"/>
        <v>528</v>
      </c>
    </row>
    <row r="579" spans="1:14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7">
        <v>0</v>
      </c>
      <c r="I579" t="s">
        <v>16</v>
      </c>
      <c r="J579" t="s">
        <v>24</v>
      </c>
      <c r="K579">
        <v>312</v>
      </c>
      <c r="L579" s="2">
        <v>35312</v>
      </c>
      <c r="M579" s="6">
        <f t="shared" ref="M579:M642" si="18">VALUE(TEXT(E579,"0.00"))</f>
        <v>263255</v>
      </c>
      <c r="N579" s="8">
        <f t="shared" ref="N579:N642" si="19">VALUE(TEXT(K579,"0.00"))</f>
        <v>312</v>
      </c>
    </row>
    <row r="580" spans="1:14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7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6">
        <f t="shared" si="18"/>
        <v>778500</v>
      </c>
      <c r="N580" s="8">
        <f t="shared" si="19"/>
        <v>581</v>
      </c>
    </row>
    <row r="581" spans="1:14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7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6">
        <f t="shared" si="18"/>
        <v>2163984</v>
      </c>
      <c r="N581" s="8">
        <f t="shared" si="19"/>
        <v>134</v>
      </c>
    </row>
    <row r="582" spans="1:14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7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6">
        <f t="shared" si="18"/>
        <v>498083</v>
      </c>
      <c r="N582" s="8">
        <f t="shared" si="19"/>
        <v>238</v>
      </c>
    </row>
    <row r="583" spans="1:14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7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6">
        <f t="shared" si="18"/>
        <v>745724</v>
      </c>
      <c r="N583" s="8">
        <f t="shared" si="19"/>
        <v>1578</v>
      </c>
    </row>
    <row r="584" spans="1:14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7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6">
        <f t="shared" si="18"/>
        <v>1064094</v>
      </c>
      <c r="N584" s="8">
        <f t="shared" si="19"/>
        <v>136</v>
      </c>
    </row>
    <row r="585" spans="1:14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7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6">
        <f t="shared" si="18"/>
        <v>686251</v>
      </c>
      <c r="N585" s="8">
        <f t="shared" si="19"/>
        <v>135</v>
      </c>
    </row>
    <row r="586" spans="1:14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7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6">
        <f t="shared" si="18"/>
        <v>904898</v>
      </c>
      <c r="N586" s="8">
        <f t="shared" si="19"/>
        <v>571</v>
      </c>
    </row>
    <row r="587" spans="1:14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7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6">
        <f t="shared" si="18"/>
        <v>554803</v>
      </c>
      <c r="N587" s="8">
        <f t="shared" si="19"/>
        <v>331</v>
      </c>
    </row>
    <row r="588" spans="1:14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7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6">
        <f t="shared" si="18"/>
        <v>831268</v>
      </c>
      <c r="N588" s="8">
        <f t="shared" si="19"/>
        <v>566</v>
      </c>
    </row>
    <row r="589" spans="1:14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7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6">
        <f t="shared" si="18"/>
        <v>238998</v>
      </c>
      <c r="N589" s="8">
        <f t="shared" si="19"/>
        <v>298</v>
      </c>
    </row>
    <row r="590" spans="1:14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7">
        <v>36526</v>
      </c>
      <c r="I590" t="s">
        <v>16</v>
      </c>
      <c r="J590" t="s">
        <v>17</v>
      </c>
      <c r="K590">
        <v>312</v>
      </c>
      <c r="L590" s="2">
        <v>35312</v>
      </c>
      <c r="M590" s="6">
        <f t="shared" si="18"/>
        <v>445811</v>
      </c>
      <c r="N590" s="8">
        <f t="shared" si="19"/>
        <v>312</v>
      </c>
    </row>
    <row r="591" spans="1:14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7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6">
        <f t="shared" si="18"/>
        <v>529574</v>
      </c>
      <c r="N591" s="8">
        <f t="shared" si="19"/>
        <v>637</v>
      </c>
    </row>
    <row r="592" spans="1:14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7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6">
        <f t="shared" si="18"/>
        <v>383961</v>
      </c>
      <c r="N592" s="8">
        <f t="shared" si="19"/>
        <v>538</v>
      </c>
    </row>
    <row r="593" spans="1:14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7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6">
        <f t="shared" si="18"/>
        <v>373150</v>
      </c>
      <c r="N593" s="8">
        <f t="shared" si="19"/>
        <v>461</v>
      </c>
    </row>
    <row r="594" spans="1:14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7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6">
        <f t="shared" si="18"/>
        <v>277890</v>
      </c>
      <c r="N594" s="8">
        <f t="shared" si="19"/>
        <v>76</v>
      </c>
    </row>
    <row r="595" spans="1:14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7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6">
        <f t="shared" si="18"/>
        <v>401654</v>
      </c>
      <c r="N595" s="8">
        <f t="shared" si="19"/>
        <v>799</v>
      </c>
    </row>
    <row r="596" spans="1:14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7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6">
        <f t="shared" si="18"/>
        <v>493095</v>
      </c>
      <c r="N596" s="8">
        <f t="shared" si="19"/>
        <v>136</v>
      </c>
    </row>
    <row r="597" spans="1:14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7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6">
        <f t="shared" si="18"/>
        <v>249132</v>
      </c>
      <c r="N597" s="8">
        <f t="shared" si="19"/>
        <v>68</v>
      </c>
    </row>
    <row r="598" spans="1:14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7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6">
        <f t="shared" si="18"/>
        <v>290888</v>
      </c>
      <c r="N598" s="8">
        <f t="shared" si="19"/>
        <v>313</v>
      </c>
    </row>
    <row r="599" spans="1:14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7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6">
        <f t="shared" si="18"/>
        <v>428295</v>
      </c>
      <c r="N599" s="8">
        <f t="shared" si="19"/>
        <v>167</v>
      </c>
    </row>
    <row r="600" spans="1:14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7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6">
        <f t="shared" si="18"/>
        <v>834162</v>
      </c>
      <c r="N600" s="8">
        <f t="shared" si="19"/>
        <v>566</v>
      </c>
    </row>
    <row r="601" spans="1:14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7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6">
        <f t="shared" si="18"/>
        <v>509078</v>
      </c>
      <c r="N601" s="8">
        <f t="shared" si="19"/>
        <v>135</v>
      </c>
    </row>
    <row r="602" spans="1:14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7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6">
        <f t="shared" si="18"/>
        <v>736619</v>
      </c>
      <c r="N602" s="8">
        <f t="shared" si="19"/>
        <v>18</v>
      </c>
    </row>
    <row r="603" spans="1:14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7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6">
        <f t="shared" si="18"/>
        <v>243688</v>
      </c>
      <c r="N603" s="8">
        <f t="shared" si="19"/>
        <v>2</v>
      </c>
    </row>
    <row r="604" spans="1:14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7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6">
        <f t="shared" si="18"/>
        <v>885269</v>
      </c>
      <c r="N604" s="8">
        <f t="shared" si="19"/>
        <v>198</v>
      </c>
    </row>
    <row r="605" spans="1:14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7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6">
        <f t="shared" si="18"/>
        <v>2387548</v>
      </c>
      <c r="N605" s="8">
        <f t="shared" si="19"/>
        <v>612</v>
      </c>
    </row>
    <row r="606" spans="1:14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7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6">
        <f t="shared" si="18"/>
        <v>560050</v>
      </c>
      <c r="N606" s="8">
        <f t="shared" si="19"/>
        <v>331</v>
      </c>
    </row>
    <row r="607" spans="1:14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7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6">
        <f t="shared" si="18"/>
        <v>463655</v>
      </c>
      <c r="N607" s="8">
        <f t="shared" si="19"/>
        <v>317</v>
      </c>
    </row>
    <row r="608" spans="1:14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7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6">
        <f t="shared" si="18"/>
        <v>757335</v>
      </c>
      <c r="N608" s="8">
        <f t="shared" si="19"/>
        <v>1193</v>
      </c>
    </row>
    <row r="609" spans="1:14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7">
        <v>0</v>
      </c>
      <c r="I609" t="s">
        <v>16</v>
      </c>
      <c r="J609" t="s">
        <v>29</v>
      </c>
      <c r="K609">
        <v>600</v>
      </c>
      <c r="L609" s="2">
        <v>35600</v>
      </c>
      <c r="M609" s="6">
        <f t="shared" si="18"/>
        <v>1469664</v>
      </c>
      <c r="N609" s="8">
        <f t="shared" si="19"/>
        <v>600</v>
      </c>
    </row>
    <row r="610" spans="1:14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7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6">
        <f t="shared" si="18"/>
        <v>897214</v>
      </c>
      <c r="N610" s="8">
        <f t="shared" si="19"/>
        <v>137</v>
      </c>
    </row>
    <row r="611" spans="1:14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7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6">
        <f t="shared" si="18"/>
        <v>772484</v>
      </c>
      <c r="N611" s="8">
        <f t="shared" si="19"/>
        <v>926</v>
      </c>
    </row>
    <row r="612" spans="1:14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7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6">
        <f t="shared" si="18"/>
        <v>594667</v>
      </c>
      <c r="N612" s="8">
        <f t="shared" si="19"/>
        <v>393</v>
      </c>
    </row>
    <row r="613" spans="1:14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7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6">
        <f t="shared" si="18"/>
        <v>800055</v>
      </c>
      <c r="N613" s="8">
        <f t="shared" si="19"/>
        <v>215</v>
      </c>
    </row>
    <row r="614" spans="1:14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7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6">
        <f t="shared" si="18"/>
        <v>645756</v>
      </c>
      <c r="N614" s="8">
        <f t="shared" si="19"/>
        <v>161</v>
      </c>
    </row>
    <row r="615" spans="1:14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7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6">
        <f t="shared" si="18"/>
        <v>728144</v>
      </c>
      <c r="N615" s="8">
        <f t="shared" si="19"/>
        <v>372</v>
      </c>
    </row>
    <row r="616" spans="1:14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7">
        <v>0</v>
      </c>
      <c r="I616" t="s">
        <v>16</v>
      </c>
      <c r="J616" t="s">
        <v>17</v>
      </c>
      <c r="K616">
        <v>312</v>
      </c>
      <c r="L616" s="2">
        <v>35312</v>
      </c>
      <c r="M616" s="6">
        <f t="shared" si="18"/>
        <v>259244</v>
      </c>
      <c r="N616" s="8">
        <f t="shared" si="19"/>
        <v>312</v>
      </c>
    </row>
    <row r="617" spans="1:14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7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6">
        <f t="shared" si="18"/>
        <v>467842</v>
      </c>
      <c r="N617" s="8">
        <f t="shared" si="19"/>
        <v>444</v>
      </c>
    </row>
    <row r="618" spans="1:14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7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6">
        <f t="shared" si="18"/>
        <v>1386993</v>
      </c>
      <c r="N618" s="8">
        <f t="shared" si="19"/>
        <v>612</v>
      </c>
    </row>
    <row r="619" spans="1:14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7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6">
        <f t="shared" si="18"/>
        <v>871778</v>
      </c>
      <c r="N619" s="8">
        <f t="shared" si="19"/>
        <v>290</v>
      </c>
    </row>
    <row r="620" spans="1:14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7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6">
        <f t="shared" si="18"/>
        <v>523399</v>
      </c>
      <c r="N620" s="8">
        <f t="shared" si="19"/>
        <v>317</v>
      </c>
    </row>
    <row r="621" spans="1:14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7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6">
        <f t="shared" si="18"/>
        <v>476419</v>
      </c>
      <c r="N621" s="8">
        <f t="shared" si="19"/>
        <v>406</v>
      </c>
    </row>
    <row r="622" spans="1:14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7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6">
        <f t="shared" si="18"/>
        <v>247247</v>
      </c>
      <c r="N622" s="8">
        <f t="shared" si="19"/>
        <v>209</v>
      </c>
    </row>
    <row r="623" spans="1:14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7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6">
        <f t="shared" si="18"/>
        <v>281369</v>
      </c>
      <c r="N623" s="8">
        <f t="shared" si="19"/>
        <v>138</v>
      </c>
    </row>
    <row r="624" spans="1:14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7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6">
        <f t="shared" si="18"/>
        <v>550506</v>
      </c>
      <c r="N624" s="8">
        <f t="shared" si="19"/>
        <v>301</v>
      </c>
    </row>
    <row r="625" spans="1:14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7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6">
        <f t="shared" si="18"/>
        <v>260621</v>
      </c>
      <c r="N625" s="8">
        <f t="shared" si="19"/>
        <v>456</v>
      </c>
    </row>
    <row r="626" spans="1:14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7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6">
        <f t="shared" si="18"/>
        <v>1048194</v>
      </c>
      <c r="N626" s="8">
        <f t="shared" si="19"/>
        <v>152</v>
      </c>
    </row>
    <row r="627" spans="1:14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7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6">
        <f t="shared" si="18"/>
        <v>325677</v>
      </c>
      <c r="N627" s="8">
        <f t="shared" si="19"/>
        <v>492</v>
      </c>
    </row>
    <row r="628" spans="1:14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7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6">
        <f t="shared" si="18"/>
        <v>3047578</v>
      </c>
      <c r="N628" s="8">
        <f t="shared" si="19"/>
        <v>49</v>
      </c>
    </row>
    <row r="629" spans="1:14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7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6">
        <f t="shared" si="18"/>
        <v>636490</v>
      </c>
      <c r="N629" s="8">
        <f t="shared" si="19"/>
        <v>430</v>
      </c>
    </row>
    <row r="630" spans="1:14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7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6">
        <f t="shared" si="18"/>
        <v>946851</v>
      </c>
      <c r="N630" s="8">
        <f t="shared" si="19"/>
        <v>634</v>
      </c>
    </row>
    <row r="631" spans="1:14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7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6">
        <f t="shared" si="18"/>
        <v>563145</v>
      </c>
      <c r="N631" s="8">
        <f t="shared" si="19"/>
        <v>350</v>
      </c>
    </row>
    <row r="632" spans="1:14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7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6">
        <f t="shared" si="18"/>
        <v>778100</v>
      </c>
      <c r="N632" s="8">
        <f t="shared" si="19"/>
        <v>246</v>
      </c>
    </row>
    <row r="633" spans="1:14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7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6">
        <f t="shared" si="18"/>
        <v>981653</v>
      </c>
      <c r="N633" s="8">
        <f t="shared" si="19"/>
        <v>129</v>
      </c>
    </row>
    <row r="634" spans="1:14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7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6">
        <f t="shared" si="18"/>
        <v>751913</v>
      </c>
      <c r="N634" s="8">
        <f t="shared" si="19"/>
        <v>185</v>
      </c>
    </row>
    <row r="635" spans="1:14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7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6">
        <f t="shared" si="18"/>
        <v>1017972</v>
      </c>
      <c r="N635" s="8">
        <f t="shared" si="19"/>
        <v>1301</v>
      </c>
    </row>
    <row r="636" spans="1:14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7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6">
        <f t="shared" si="18"/>
        <v>277284</v>
      </c>
      <c r="N636" s="8">
        <f t="shared" si="19"/>
        <v>9</v>
      </c>
    </row>
    <row r="637" spans="1:14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7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6">
        <f t="shared" si="18"/>
        <v>403750</v>
      </c>
      <c r="N637" s="8">
        <f t="shared" si="19"/>
        <v>133</v>
      </c>
    </row>
    <row r="638" spans="1:14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7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6">
        <f t="shared" si="18"/>
        <v>419197</v>
      </c>
      <c r="N638" s="8">
        <f t="shared" si="19"/>
        <v>141</v>
      </c>
    </row>
    <row r="639" spans="1:14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7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6">
        <f t="shared" si="18"/>
        <v>267687</v>
      </c>
      <c r="N639" s="8">
        <f t="shared" si="19"/>
        <v>322</v>
      </c>
    </row>
    <row r="640" spans="1:14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7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6">
        <f t="shared" si="18"/>
        <v>252396</v>
      </c>
      <c r="N640" s="8">
        <f t="shared" si="19"/>
        <v>623</v>
      </c>
    </row>
    <row r="641" spans="1:14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7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6">
        <f t="shared" si="18"/>
        <v>698840</v>
      </c>
      <c r="N641" s="8">
        <f t="shared" si="19"/>
        <v>427</v>
      </c>
    </row>
    <row r="642" spans="1:14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7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6">
        <f t="shared" si="18"/>
        <v>874206</v>
      </c>
      <c r="N642" s="8">
        <f t="shared" si="19"/>
        <v>142</v>
      </c>
    </row>
    <row r="643" spans="1:14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7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6">
        <f t="shared" ref="M643:M706" si="20">VALUE(TEXT(E643,"0.00"))</f>
        <v>267332</v>
      </c>
      <c r="N643" s="8">
        <f t="shared" ref="N643:N706" si="21">VALUE(TEXT(K643,"0.00"))</f>
        <v>322</v>
      </c>
    </row>
    <row r="644" spans="1:14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7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6">
        <f t="shared" si="20"/>
        <v>1215733</v>
      </c>
      <c r="N644" s="8">
        <f t="shared" si="21"/>
        <v>494</v>
      </c>
    </row>
    <row r="645" spans="1:14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7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6">
        <f t="shared" si="20"/>
        <v>295776</v>
      </c>
      <c r="N645" s="8">
        <f t="shared" si="21"/>
        <v>211</v>
      </c>
    </row>
    <row r="646" spans="1:14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7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6">
        <f t="shared" si="20"/>
        <v>717391</v>
      </c>
      <c r="N646" s="8">
        <f t="shared" si="21"/>
        <v>147</v>
      </c>
    </row>
    <row r="647" spans="1:14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7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6">
        <f t="shared" si="20"/>
        <v>309954</v>
      </c>
      <c r="N647" s="8">
        <f t="shared" si="21"/>
        <v>863</v>
      </c>
    </row>
    <row r="648" spans="1:14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7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6">
        <f t="shared" si="20"/>
        <v>841568</v>
      </c>
      <c r="N648" s="8">
        <f t="shared" si="21"/>
        <v>514</v>
      </c>
    </row>
    <row r="649" spans="1:14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7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6">
        <f t="shared" si="20"/>
        <v>2684312</v>
      </c>
      <c r="N649" s="8">
        <f t="shared" si="21"/>
        <v>113</v>
      </c>
    </row>
    <row r="650" spans="1:14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7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6">
        <f t="shared" si="20"/>
        <v>1305717</v>
      </c>
      <c r="N650" s="8">
        <f t="shared" si="21"/>
        <v>538</v>
      </c>
    </row>
    <row r="651" spans="1:14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7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6">
        <f t="shared" si="20"/>
        <v>959995</v>
      </c>
      <c r="N651" s="8">
        <f t="shared" si="21"/>
        <v>943</v>
      </c>
    </row>
    <row r="652" spans="1:14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7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6">
        <f t="shared" si="20"/>
        <v>853511</v>
      </c>
      <c r="N652" s="8">
        <f t="shared" si="21"/>
        <v>118</v>
      </c>
    </row>
    <row r="653" spans="1:14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7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6">
        <f t="shared" si="20"/>
        <v>829348</v>
      </c>
      <c r="N653" s="8">
        <f t="shared" si="21"/>
        <v>225</v>
      </c>
    </row>
    <row r="654" spans="1:14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7">
        <v>0</v>
      </c>
      <c r="I654" t="s">
        <v>16</v>
      </c>
      <c r="J654" t="s">
        <v>24</v>
      </c>
      <c r="K654">
        <v>456</v>
      </c>
      <c r="L654" s="2">
        <v>35456</v>
      </c>
      <c r="M654" s="6">
        <f t="shared" si="20"/>
        <v>684615</v>
      </c>
      <c r="N654" s="8">
        <f t="shared" si="21"/>
        <v>456</v>
      </c>
    </row>
    <row r="655" spans="1:14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7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6">
        <f t="shared" si="20"/>
        <v>663686</v>
      </c>
      <c r="N655" s="8">
        <f t="shared" si="21"/>
        <v>182</v>
      </c>
    </row>
    <row r="656" spans="1:14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7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6">
        <f t="shared" si="20"/>
        <v>560908</v>
      </c>
      <c r="N656" s="8">
        <f t="shared" si="21"/>
        <v>148</v>
      </c>
    </row>
    <row r="657" spans="1:14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7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6">
        <f t="shared" si="20"/>
        <v>507732</v>
      </c>
      <c r="N657" s="8">
        <f t="shared" si="21"/>
        <v>526</v>
      </c>
    </row>
    <row r="658" spans="1:14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7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6">
        <f t="shared" si="20"/>
        <v>527563</v>
      </c>
      <c r="N658" s="8">
        <f t="shared" si="21"/>
        <v>156</v>
      </c>
    </row>
    <row r="659" spans="1:14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7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6">
        <f t="shared" si="20"/>
        <v>251459</v>
      </c>
      <c r="N659" s="8">
        <f t="shared" si="21"/>
        <v>156</v>
      </c>
    </row>
    <row r="660" spans="1:14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7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6">
        <f t="shared" si="20"/>
        <v>343525</v>
      </c>
      <c r="N660" s="8">
        <f t="shared" si="21"/>
        <v>212</v>
      </c>
    </row>
    <row r="661" spans="1:14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7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6">
        <f t="shared" si="20"/>
        <v>662461</v>
      </c>
      <c r="N661" s="8">
        <f t="shared" si="21"/>
        <v>298</v>
      </c>
    </row>
    <row r="662" spans="1:14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7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6">
        <f t="shared" si="20"/>
        <v>575744</v>
      </c>
      <c r="N662" s="8">
        <f t="shared" si="21"/>
        <v>174</v>
      </c>
    </row>
    <row r="663" spans="1:14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7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6">
        <f t="shared" si="20"/>
        <v>251459</v>
      </c>
      <c r="N663" s="8">
        <f t="shared" si="21"/>
        <v>156</v>
      </c>
    </row>
    <row r="664" spans="1:14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7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6">
        <f t="shared" si="20"/>
        <v>288645</v>
      </c>
      <c r="N664" s="8">
        <f t="shared" si="21"/>
        <v>486</v>
      </c>
    </row>
    <row r="665" spans="1:14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7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6">
        <f t="shared" si="20"/>
        <v>534144</v>
      </c>
      <c r="N665" s="8">
        <f t="shared" si="21"/>
        <v>346</v>
      </c>
    </row>
    <row r="666" spans="1:14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7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6">
        <f t="shared" si="20"/>
        <v>416002</v>
      </c>
      <c r="N666" s="8">
        <f t="shared" si="21"/>
        <v>2</v>
      </c>
    </row>
    <row r="667" spans="1:14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7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6">
        <f t="shared" si="20"/>
        <v>284625</v>
      </c>
      <c r="N667" s="8">
        <f t="shared" si="21"/>
        <v>518</v>
      </c>
    </row>
    <row r="668" spans="1:14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7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6">
        <f t="shared" si="20"/>
        <v>477026</v>
      </c>
      <c r="N668" s="8">
        <f t="shared" si="21"/>
        <v>326</v>
      </c>
    </row>
    <row r="669" spans="1:14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7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6">
        <f t="shared" si="20"/>
        <v>505962</v>
      </c>
      <c r="N669" s="8">
        <f t="shared" si="21"/>
        <v>262</v>
      </c>
    </row>
    <row r="670" spans="1:14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7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6">
        <f t="shared" si="20"/>
        <v>909574</v>
      </c>
      <c r="N670" s="8">
        <f t="shared" si="21"/>
        <v>922</v>
      </c>
    </row>
    <row r="671" spans="1:14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7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6">
        <f t="shared" si="20"/>
        <v>268886</v>
      </c>
      <c r="N671" s="8">
        <f t="shared" si="21"/>
        <v>542</v>
      </c>
    </row>
    <row r="672" spans="1:14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7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6">
        <f t="shared" si="20"/>
        <v>827764</v>
      </c>
      <c r="N672" s="8">
        <f t="shared" si="21"/>
        <v>326</v>
      </c>
    </row>
    <row r="673" spans="1:14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7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6">
        <f t="shared" si="20"/>
        <v>905794</v>
      </c>
      <c r="N673" s="8">
        <f t="shared" si="21"/>
        <v>328</v>
      </c>
    </row>
    <row r="674" spans="1:14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7">
        <v>0</v>
      </c>
      <c r="I674" t="s">
        <v>16</v>
      </c>
      <c r="J674" t="s">
        <v>24</v>
      </c>
      <c r="K674">
        <v>456</v>
      </c>
      <c r="L674" s="2">
        <v>35456</v>
      </c>
      <c r="M674" s="6">
        <f t="shared" si="20"/>
        <v>380175</v>
      </c>
      <c r="N674" s="8">
        <f t="shared" si="21"/>
        <v>456</v>
      </c>
    </row>
    <row r="675" spans="1:14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7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6">
        <f t="shared" si="20"/>
        <v>933934</v>
      </c>
      <c r="N675" s="8">
        <f t="shared" si="21"/>
        <v>1266</v>
      </c>
    </row>
    <row r="676" spans="1:14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7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6">
        <f t="shared" si="20"/>
        <v>252012</v>
      </c>
      <c r="N676" s="8">
        <f t="shared" si="21"/>
        <v>63</v>
      </c>
    </row>
    <row r="677" spans="1:14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7">
        <v>0</v>
      </c>
      <c r="I677" t="s">
        <v>28</v>
      </c>
      <c r="J677" t="s">
        <v>17</v>
      </c>
      <c r="K677">
        <v>336</v>
      </c>
      <c r="L677" s="2">
        <v>35336</v>
      </c>
      <c r="M677" s="6">
        <f t="shared" si="20"/>
        <v>498410</v>
      </c>
      <c r="N677" s="8">
        <f t="shared" si="21"/>
        <v>336</v>
      </c>
    </row>
    <row r="678" spans="1:14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7">
        <v>0</v>
      </c>
      <c r="I678" t="s">
        <v>16</v>
      </c>
      <c r="J678" t="s">
        <v>17</v>
      </c>
      <c r="K678">
        <v>15.631363</v>
      </c>
      <c r="L678" s="2">
        <v>35015.631363</v>
      </c>
      <c r="M678" s="6">
        <f t="shared" si="20"/>
        <v>259575</v>
      </c>
      <c r="N678" s="8">
        <f t="shared" si="21"/>
        <v>16</v>
      </c>
    </row>
    <row r="679" spans="1:14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7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6">
        <f t="shared" si="20"/>
        <v>743769</v>
      </c>
      <c r="N679" s="8">
        <f t="shared" si="21"/>
        <v>442</v>
      </c>
    </row>
    <row r="680" spans="1:14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7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6">
        <f t="shared" si="20"/>
        <v>1453679</v>
      </c>
      <c r="N680" s="8">
        <f t="shared" si="21"/>
        <v>376</v>
      </c>
    </row>
    <row r="681" spans="1:14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7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6">
        <f t="shared" si="20"/>
        <v>591331</v>
      </c>
      <c r="N681" s="8">
        <f t="shared" si="21"/>
        <v>365</v>
      </c>
    </row>
    <row r="682" spans="1:14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7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6">
        <f t="shared" si="20"/>
        <v>277166</v>
      </c>
      <c r="N682" s="8">
        <f t="shared" si="21"/>
        <v>355</v>
      </c>
    </row>
    <row r="683" spans="1:14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7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6">
        <f t="shared" si="20"/>
        <v>2919437</v>
      </c>
      <c r="N683" s="8">
        <f t="shared" si="21"/>
        <v>453</v>
      </c>
    </row>
    <row r="684" spans="1:14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7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6">
        <f t="shared" si="20"/>
        <v>988039</v>
      </c>
      <c r="N684" s="8">
        <f t="shared" si="21"/>
        <v>113</v>
      </c>
    </row>
    <row r="685" spans="1:14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7">
        <v>36526</v>
      </c>
      <c r="I685" t="s">
        <v>28</v>
      </c>
      <c r="J685" t="s">
        <v>29</v>
      </c>
      <c r="K685">
        <v>480</v>
      </c>
      <c r="L685" s="2">
        <v>35480</v>
      </c>
      <c r="M685" s="6">
        <f t="shared" si="20"/>
        <v>1511440</v>
      </c>
      <c r="N685" s="8">
        <f t="shared" si="21"/>
        <v>480</v>
      </c>
    </row>
    <row r="686" spans="1:14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7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6">
        <f t="shared" si="20"/>
        <v>575991</v>
      </c>
      <c r="N686" s="8">
        <f t="shared" si="21"/>
        <v>16</v>
      </c>
    </row>
    <row r="687" spans="1:14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7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6">
        <f t="shared" si="20"/>
        <v>849516</v>
      </c>
      <c r="N687" s="8">
        <f t="shared" si="21"/>
        <v>615</v>
      </c>
    </row>
    <row r="688" spans="1:14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7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6">
        <f t="shared" si="20"/>
        <v>438118</v>
      </c>
      <c r="N688" s="8">
        <f t="shared" si="21"/>
        <v>615</v>
      </c>
    </row>
    <row r="689" spans="1:14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7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6">
        <f t="shared" si="20"/>
        <v>699783</v>
      </c>
      <c r="N689" s="8">
        <f t="shared" si="21"/>
        <v>513</v>
      </c>
    </row>
    <row r="690" spans="1:14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7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6">
        <f t="shared" si="20"/>
        <v>1143059</v>
      </c>
      <c r="N690" s="8">
        <f t="shared" si="21"/>
        <v>75</v>
      </c>
    </row>
    <row r="691" spans="1:14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7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6">
        <f t="shared" si="20"/>
        <v>748249</v>
      </c>
      <c r="N691" s="8">
        <f t="shared" si="21"/>
        <v>426</v>
      </c>
    </row>
    <row r="692" spans="1:14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7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6">
        <f t="shared" si="20"/>
        <v>859692</v>
      </c>
      <c r="N692" s="8">
        <f t="shared" si="21"/>
        <v>169</v>
      </c>
    </row>
    <row r="693" spans="1:14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7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6">
        <f t="shared" si="20"/>
        <v>785496</v>
      </c>
      <c r="N693" s="8">
        <f t="shared" si="21"/>
        <v>419</v>
      </c>
    </row>
    <row r="694" spans="1:14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7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6">
        <f t="shared" si="20"/>
        <v>258241</v>
      </c>
      <c r="N694" s="8">
        <f t="shared" si="21"/>
        <v>201</v>
      </c>
    </row>
    <row r="695" spans="1:14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7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6">
        <f t="shared" si="20"/>
        <v>907577</v>
      </c>
      <c r="N695" s="8">
        <f t="shared" si="21"/>
        <v>158</v>
      </c>
    </row>
    <row r="696" spans="1:14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7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6">
        <f t="shared" si="20"/>
        <v>411859</v>
      </c>
      <c r="N696" s="8">
        <f t="shared" si="21"/>
        <v>494</v>
      </c>
    </row>
    <row r="697" spans="1:14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7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6">
        <f t="shared" si="20"/>
        <v>1215733</v>
      </c>
      <c r="N697" s="8">
        <f t="shared" si="21"/>
        <v>494</v>
      </c>
    </row>
    <row r="698" spans="1:14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7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6">
        <f t="shared" si="20"/>
        <v>515282</v>
      </c>
      <c r="N698" s="8">
        <f t="shared" si="21"/>
        <v>326</v>
      </c>
    </row>
    <row r="699" spans="1:14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7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6">
        <f t="shared" si="20"/>
        <v>651298</v>
      </c>
      <c r="N699" s="8">
        <f t="shared" si="21"/>
        <v>670</v>
      </c>
    </row>
    <row r="700" spans="1:14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7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6">
        <f t="shared" si="20"/>
        <v>2778969</v>
      </c>
      <c r="N700" s="8">
        <f t="shared" si="21"/>
        <v>396</v>
      </c>
    </row>
    <row r="701" spans="1:14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7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6">
        <f t="shared" si="20"/>
        <v>266727</v>
      </c>
      <c r="N701" s="8">
        <f t="shared" si="21"/>
        <v>160</v>
      </c>
    </row>
    <row r="702" spans="1:14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7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6">
        <f t="shared" si="20"/>
        <v>1092841</v>
      </c>
      <c r="N702" s="8">
        <f t="shared" si="21"/>
        <v>59</v>
      </c>
    </row>
    <row r="703" spans="1:14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7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6">
        <f t="shared" si="20"/>
        <v>761538</v>
      </c>
      <c r="N703" s="8">
        <f t="shared" si="21"/>
        <v>302</v>
      </c>
    </row>
    <row r="704" spans="1:14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7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6">
        <f t="shared" si="20"/>
        <v>200435</v>
      </c>
      <c r="N704" s="8">
        <f t="shared" si="21"/>
        <v>317</v>
      </c>
    </row>
    <row r="705" spans="1:14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7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6">
        <f t="shared" si="20"/>
        <v>243468</v>
      </c>
      <c r="N705" s="8">
        <f t="shared" si="21"/>
        <v>9</v>
      </c>
    </row>
    <row r="706" spans="1:14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7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6">
        <f t="shared" si="20"/>
        <v>1419536</v>
      </c>
      <c r="N706" s="8">
        <f t="shared" si="21"/>
        <v>285</v>
      </c>
    </row>
    <row r="707" spans="1:14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7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6">
        <f t="shared" ref="M707:M770" si="22">VALUE(TEXT(E707,"0.00"))</f>
        <v>942768</v>
      </c>
      <c r="N707" s="8">
        <f t="shared" ref="N707:N770" si="23">VALUE(TEXT(K707,"0.00"))</f>
        <v>566</v>
      </c>
    </row>
    <row r="708" spans="1:14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7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6">
        <f t="shared" si="22"/>
        <v>1198242</v>
      </c>
      <c r="N708" s="8">
        <f t="shared" si="23"/>
        <v>411</v>
      </c>
    </row>
    <row r="709" spans="1:14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7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6">
        <f t="shared" si="22"/>
        <v>310279</v>
      </c>
      <c r="N709" s="8">
        <f t="shared" si="23"/>
        <v>244</v>
      </c>
    </row>
    <row r="710" spans="1:14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7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6">
        <f t="shared" si="22"/>
        <v>422263</v>
      </c>
      <c r="N710" s="8">
        <f t="shared" si="23"/>
        <v>219</v>
      </c>
    </row>
    <row r="711" spans="1:14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7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6">
        <f t="shared" si="22"/>
        <v>402381</v>
      </c>
      <c r="N711" s="8">
        <f t="shared" si="23"/>
        <v>644</v>
      </c>
    </row>
    <row r="712" spans="1:14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7">
        <v>0</v>
      </c>
      <c r="I712" t="s">
        <v>16</v>
      </c>
      <c r="J712" t="s">
        <v>17</v>
      </c>
      <c r="K712">
        <v>336</v>
      </c>
      <c r="L712" s="2">
        <v>35336</v>
      </c>
      <c r="M712" s="6">
        <f t="shared" si="22"/>
        <v>529715</v>
      </c>
      <c r="N712" s="8">
        <f t="shared" si="23"/>
        <v>336</v>
      </c>
    </row>
    <row r="713" spans="1:14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7">
        <v>0</v>
      </c>
      <c r="I713" t="s">
        <v>16</v>
      </c>
      <c r="J713" t="s">
        <v>24</v>
      </c>
      <c r="K713">
        <v>312</v>
      </c>
      <c r="L713" s="2">
        <v>35312</v>
      </c>
      <c r="M713" s="6">
        <f t="shared" si="22"/>
        <v>2142364</v>
      </c>
      <c r="N713" s="8">
        <f t="shared" si="23"/>
        <v>312</v>
      </c>
    </row>
    <row r="714" spans="1:14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7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6">
        <f t="shared" si="22"/>
        <v>441621</v>
      </c>
      <c r="N714" s="8">
        <f t="shared" si="23"/>
        <v>497</v>
      </c>
    </row>
    <row r="715" spans="1:14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7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6">
        <f t="shared" si="22"/>
        <v>463904</v>
      </c>
      <c r="N715" s="8">
        <f t="shared" si="23"/>
        <v>1022</v>
      </c>
    </row>
    <row r="716" spans="1:14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7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6">
        <f t="shared" si="22"/>
        <v>486354</v>
      </c>
      <c r="N716" s="8">
        <f t="shared" si="23"/>
        <v>658</v>
      </c>
    </row>
    <row r="717" spans="1:14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7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6">
        <f t="shared" si="22"/>
        <v>2583091</v>
      </c>
      <c r="N717" s="8">
        <f t="shared" si="23"/>
        <v>230</v>
      </c>
    </row>
    <row r="718" spans="1:14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7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6">
        <f t="shared" si="22"/>
        <v>297431</v>
      </c>
      <c r="N718" s="8">
        <f t="shared" si="23"/>
        <v>6</v>
      </c>
    </row>
    <row r="719" spans="1:14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7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6">
        <f t="shared" si="22"/>
        <v>206446</v>
      </c>
      <c r="N719" s="8">
        <f t="shared" si="23"/>
        <v>293</v>
      </c>
    </row>
    <row r="720" spans="1:14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7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6">
        <f t="shared" si="22"/>
        <v>1006461</v>
      </c>
      <c r="N720" s="8">
        <f t="shared" si="23"/>
        <v>614</v>
      </c>
    </row>
    <row r="721" spans="1:14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7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6">
        <f t="shared" si="22"/>
        <v>803240</v>
      </c>
      <c r="N721" s="8">
        <f t="shared" si="23"/>
        <v>160</v>
      </c>
    </row>
    <row r="722" spans="1:14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7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6">
        <f t="shared" si="22"/>
        <v>548921</v>
      </c>
      <c r="N722" s="8">
        <f t="shared" si="23"/>
        <v>667</v>
      </c>
    </row>
    <row r="723" spans="1:14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7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6">
        <f t="shared" si="22"/>
        <v>261276</v>
      </c>
      <c r="N723" s="8">
        <f t="shared" si="23"/>
        <v>35</v>
      </c>
    </row>
    <row r="724" spans="1:14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7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6">
        <f t="shared" si="22"/>
        <v>857346</v>
      </c>
      <c r="N724" s="8">
        <f t="shared" si="23"/>
        <v>678</v>
      </c>
    </row>
    <row r="725" spans="1:14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7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6">
        <f t="shared" si="22"/>
        <v>2412750</v>
      </c>
      <c r="N725" s="8">
        <f t="shared" si="23"/>
        <v>511</v>
      </c>
    </row>
    <row r="726" spans="1:14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7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6">
        <f t="shared" si="22"/>
        <v>855039</v>
      </c>
      <c r="N726" s="8">
        <f t="shared" si="23"/>
        <v>526</v>
      </c>
    </row>
    <row r="727" spans="1:14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7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6">
        <f t="shared" si="22"/>
        <v>230865</v>
      </c>
      <c r="N727" s="8">
        <f t="shared" si="23"/>
        <v>293</v>
      </c>
    </row>
    <row r="728" spans="1:14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7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6">
        <f t="shared" si="22"/>
        <v>425462</v>
      </c>
      <c r="N728" s="8">
        <f t="shared" si="23"/>
        <v>293</v>
      </c>
    </row>
    <row r="729" spans="1:14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7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6">
        <f t="shared" si="22"/>
        <v>898285</v>
      </c>
      <c r="N729" s="8">
        <f t="shared" si="23"/>
        <v>175</v>
      </c>
    </row>
    <row r="730" spans="1:14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7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6">
        <f t="shared" si="22"/>
        <v>786817</v>
      </c>
      <c r="N730" s="8">
        <f t="shared" si="23"/>
        <v>159</v>
      </c>
    </row>
    <row r="731" spans="1:14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7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6">
        <f t="shared" si="22"/>
        <v>770425</v>
      </c>
      <c r="N731" s="8">
        <f t="shared" si="23"/>
        <v>698</v>
      </c>
    </row>
    <row r="732" spans="1:14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7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6">
        <f t="shared" si="22"/>
        <v>1055217</v>
      </c>
      <c r="N732" s="8">
        <f t="shared" si="23"/>
        <v>233</v>
      </c>
    </row>
    <row r="733" spans="1:14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7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6">
        <f t="shared" si="22"/>
        <v>1604511</v>
      </c>
      <c r="N733" s="8">
        <f t="shared" si="23"/>
        <v>163</v>
      </c>
    </row>
    <row r="734" spans="1:14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7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6">
        <f t="shared" si="22"/>
        <v>873784</v>
      </c>
      <c r="N734" s="8">
        <f t="shared" si="23"/>
        <v>80</v>
      </c>
    </row>
    <row r="735" spans="1:14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7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6">
        <f t="shared" si="22"/>
        <v>545489</v>
      </c>
      <c r="N735" s="8">
        <f t="shared" si="23"/>
        <v>394</v>
      </c>
    </row>
    <row r="736" spans="1:14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7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6">
        <f t="shared" si="22"/>
        <v>770528</v>
      </c>
      <c r="N736" s="8">
        <f t="shared" si="23"/>
        <v>382</v>
      </c>
    </row>
    <row r="737" spans="1:14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7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6">
        <f t="shared" si="22"/>
        <v>703926</v>
      </c>
      <c r="N737" s="8">
        <f t="shared" si="23"/>
        <v>48</v>
      </c>
    </row>
    <row r="738" spans="1:14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7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6">
        <f t="shared" si="22"/>
        <v>883809</v>
      </c>
      <c r="N738" s="8">
        <f t="shared" si="23"/>
        <v>133</v>
      </c>
    </row>
    <row r="739" spans="1:14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7">
        <v>0</v>
      </c>
      <c r="I739" t="s">
        <v>16</v>
      </c>
      <c r="J739" t="s">
        <v>78</v>
      </c>
      <c r="K739">
        <v>528</v>
      </c>
      <c r="L739" s="2">
        <v>35528</v>
      </c>
      <c r="M739" s="6">
        <f t="shared" si="22"/>
        <v>873353</v>
      </c>
      <c r="N739" s="8">
        <f t="shared" si="23"/>
        <v>528</v>
      </c>
    </row>
    <row r="740" spans="1:14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7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6">
        <f t="shared" si="22"/>
        <v>959747</v>
      </c>
      <c r="N740" s="8">
        <f t="shared" si="23"/>
        <v>561</v>
      </c>
    </row>
    <row r="741" spans="1:14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7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6">
        <f t="shared" si="22"/>
        <v>450666</v>
      </c>
      <c r="N741" s="8">
        <f t="shared" si="23"/>
        <v>317</v>
      </c>
    </row>
    <row r="742" spans="1:14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7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6">
        <f t="shared" si="22"/>
        <v>1785797</v>
      </c>
      <c r="N742" s="8">
        <f t="shared" si="23"/>
        <v>445</v>
      </c>
    </row>
    <row r="743" spans="1:14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7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6">
        <f t="shared" si="22"/>
        <v>249781</v>
      </c>
      <c r="N743" s="8">
        <f t="shared" si="23"/>
        <v>166</v>
      </c>
    </row>
    <row r="744" spans="1:14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7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6">
        <f t="shared" si="22"/>
        <v>542614</v>
      </c>
      <c r="N744" s="8">
        <f t="shared" si="23"/>
        <v>408</v>
      </c>
    </row>
    <row r="745" spans="1:14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7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6">
        <f t="shared" si="22"/>
        <v>799814</v>
      </c>
      <c r="N745" s="8">
        <f t="shared" si="23"/>
        <v>844</v>
      </c>
    </row>
    <row r="746" spans="1:14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7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6">
        <f t="shared" si="22"/>
        <v>289762</v>
      </c>
      <c r="N746" s="8">
        <f t="shared" si="23"/>
        <v>346</v>
      </c>
    </row>
    <row r="747" spans="1:14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7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6">
        <f t="shared" si="22"/>
        <v>1159950</v>
      </c>
      <c r="N747" s="8">
        <f t="shared" si="23"/>
        <v>340</v>
      </c>
    </row>
    <row r="748" spans="1:14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7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6">
        <f t="shared" si="22"/>
        <v>1514793</v>
      </c>
      <c r="N748" s="8">
        <f t="shared" si="23"/>
        <v>107</v>
      </c>
    </row>
    <row r="749" spans="1:14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7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6">
        <f t="shared" si="22"/>
        <v>543577</v>
      </c>
      <c r="N749" s="8">
        <f t="shared" si="23"/>
        <v>626</v>
      </c>
    </row>
    <row r="750" spans="1:14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7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6">
        <f t="shared" si="22"/>
        <v>272536</v>
      </c>
      <c r="N750" s="8">
        <f t="shared" si="23"/>
        <v>57</v>
      </c>
    </row>
    <row r="751" spans="1:14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7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6">
        <f t="shared" si="22"/>
        <v>1329771</v>
      </c>
      <c r="N751" s="8">
        <f t="shared" si="23"/>
        <v>785</v>
      </c>
    </row>
    <row r="752" spans="1:14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7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6">
        <f t="shared" si="22"/>
        <v>992705</v>
      </c>
      <c r="N752" s="8">
        <f t="shared" si="23"/>
        <v>442</v>
      </c>
    </row>
    <row r="753" spans="1:14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7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6">
        <f t="shared" si="22"/>
        <v>1777155</v>
      </c>
      <c r="N753" s="8">
        <f t="shared" si="23"/>
        <v>547</v>
      </c>
    </row>
    <row r="754" spans="1:14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7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6">
        <f t="shared" si="22"/>
        <v>1826927</v>
      </c>
      <c r="N754" s="8">
        <f t="shared" si="23"/>
        <v>86</v>
      </c>
    </row>
    <row r="755" spans="1:14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7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6">
        <f t="shared" si="22"/>
        <v>272221</v>
      </c>
      <c r="N755" s="8">
        <f t="shared" si="23"/>
        <v>399</v>
      </c>
    </row>
    <row r="756" spans="1:14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7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6">
        <f t="shared" si="22"/>
        <v>708321</v>
      </c>
      <c r="N756" s="8">
        <f t="shared" si="23"/>
        <v>64</v>
      </c>
    </row>
    <row r="757" spans="1:14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7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6">
        <f t="shared" si="22"/>
        <v>1017972</v>
      </c>
      <c r="N757" s="8">
        <f t="shared" si="23"/>
        <v>1301</v>
      </c>
    </row>
    <row r="758" spans="1:14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7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6">
        <f t="shared" si="22"/>
        <v>588951</v>
      </c>
      <c r="N758" s="8">
        <f t="shared" si="23"/>
        <v>120</v>
      </c>
    </row>
    <row r="759" spans="1:14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7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6">
        <f t="shared" si="22"/>
        <v>1577139</v>
      </c>
      <c r="N759" s="8">
        <f t="shared" si="23"/>
        <v>1254</v>
      </c>
    </row>
    <row r="760" spans="1:14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7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6">
        <f t="shared" si="22"/>
        <v>528817</v>
      </c>
      <c r="N760" s="8">
        <f t="shared" si="23"/>
        <v>317</v>
      </c>
    </row>
    <row r="761" spans="1:14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7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6">
        <f t="shared" si="22"/>
        <v>2758055</v>
      </c>
      <c r="N761" s="8">
        <f t="shared" si="23"/>
        <v>418</v>
      </c>
    </row>
    <row r="762" spans="1:14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7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6">
        <f t="shared" si="22"/>
        <v>777853</v>
      </c>
      <c r="N762" s="8">
        <f t="shared" si="23"/>
        <v>798</v>
      </c>
    </row>
    <row r="763" spans="1:14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7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6">
        <f t="shared" si="22"/>
        <v>734186</v>
      </c>
      <c r="N763" s="8">
        <f t="shared" si="23"/>
        <v>82</v>
      </c>
    </row>
    <row r="764" spans="1:14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7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6">
        <f t="shared" si="22"/>
        <v>791920</v>
      </c>
      <c r="N764" s="8">
        <f t="shared" si="23"/>
        <v>23</v>
      </c>
    </row>
    <row r="765" spans="1:14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7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6">
        <f t="shared" si="22"/>
        <v>216387</v>
      </c>
      <c r="N765" s="8">
        <f t="shared" si="23"/>
        <v>302</v>
      </c>
    </row>
    <row r="766" spans="1:14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7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6">
        <f t="shared" si="22"/>
        <v>978781</v>
      </c>
      <c r="N766" s="8">
        <f t="shared" si="23"/>
        <v>422</v>
      </c>
    </row>
    <row r="767" spans="1:14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7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6">
        <f t="shared" si="22"/>
        <v>520764</v>
      </c>
      <c r="N767" s="8">
        <f t="shared" si="23"/>
        <v>317</v>
      </c>
    </row>
    <row r="768" spans="1:14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7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6">
        <f t="shared" si="22"/>
        <v>2114728</v>
      </c>
      <c r="N768" s="8">
        <f t="shared" si="23"/>
        <v>640</v>
      </c>
    </row>
    <row r="769" spans="1:14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7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6">
        <f t="shared" si="22"/>
        <v>1228077</v>
      </c>
      <c r="N769" s="8">
        <f t="shared" si="23"/>
        <v>490</v>
      </c>
    </row>
    <row r="770" spans="1:14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7">
        <v>0</v>
      </c>
      <c r="I770" t="s">
        <v>16</v>
      </c>
      <c r="J770" t="s">
        <v>17</v>
      </c>
      <c r="K770">
        <v>312</v>
      </c>
      <c r="L770" s="2">
        <v>35312</v>
      </c>
      <c r="M770" s="6">
        <f t="shared" si="22"/>
        <v>244139</v>
      </c>
      <c r="N770" s="8">
        <f t="shared" si="23"/>
        <v>312</v>
      </c>
    </row>
    <row r="771" spans="1:14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7">
        <v>0</v>
      </c>
      <c r="I771" t="s">
        <v>28</v>
      </c>
      <c r="J771" t="s">
        <v>17</v>
      </c>
      <c r="K771">
        <v>468</v>
      </c>
      <c r="L771" s="2">
        <v>35468</v>
      </c>
      <c r="M771" s="6">
        <f t="shared" ref="M771:M834" si="24">VALUE(TEXT(E771,"0.00"))</f>
        <v>653556</v>
      </c>
      <c r="N771" s="8">
        <f t="shared" ref="N771:N834" si="25">VALUE(TEXT(K771,"0.00"))</f>
        <v>468</v>
      </c>
    </row>
    <row r="772" spans="1:14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7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6">
        <f t="shared" si="24"/>
        <v>920660</v>
      </c>
      <c r="N772" s="8">
        <f t="shared" si="25"/>
        <v>511</v>
      </c>
    </row>
    <row r="773" spans="1:14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7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6">
        <f t="shared" si="24"/>
        <v>411859</v>
      </c>
      <c r="N773" s="8">
        <f t="shared" si="25"/>
        <v>494</v>
      </c>
    </row>
    <row r="774" spans="1:14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7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6">
        <f t="shared" si="24"/>
        <v>483821</v>
      </c>
      <c r="N774" s="8">
        <f t="shared" si="25"/>
        <v>240</v>
      </c>
    </row>
    <row r="775" spans="1:14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7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6">
        <f t="shared" si="24"/>
        <v>462555</v>
      </c>
      <c r="N775" s="8">
        <f t="shared" si="25"/>
        <v>518</v>
      </c>
    </row>
    <row r="776" spans="1:14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7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6">
        <f t="shared" si="24"/>
        <v>1404210</v>
      </c>
      <c r="N776" s="8">
        <f t="shared" si="25"/>
        <v>715</v>
      </c>
    </row>
    <row r="777" spans="1:14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7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6">
        <f t="shared" si="24"/>
        <v>754661</v>
      </c>
      <c r="N777" s="8">
        <f t="shared" si="25"/>
        <v>926</v>
      </c>
    </row>
    <row r="778" spans="1:14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7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6">
        <f t="shared" si="24"/>
        <v>251459</v>
      </c>
      <c r="N778" s="8">
        <f t="shared" si="25"/>
        <v>156</v>
      </c>
    </row>
    <row r="779" spans="1:14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7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6">
        <f t="shared" si="24"/>
        <v>517036</v>
      </c>
      <c r="N779" s="8">
        <f t="shared" si="25"/>
        <v>402</v>
      </c>
    </row>
    <row r="780" spans="1:14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7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6">
        <f t="shared" si="24"/>
        <v>1391738</v>
      </c>
      <c r="N780" s="8">
        <f t="shared" si="25"/>
        <v>95</v>
      </c>
    </row>
    <row r="781" spans="1:14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7">
        <v>36586</v>
      </c>
      <c r="I781" t="s">
        <v>16</v>
      </c>
      <c r="J781" t="s">
        <v>17</v>
      </c>
      <c r="K781">
        <v>456</v>
      </c>
      <c r="L781" s="2">
        <v>35456</v>
      </c>
      <c r="M781" s="6">
        <f t="shared" si="24"/>
        <v>1131813</v>
      </c>
      <c r="N781" s="8">
        <f t="shared" si="25"/>
        <v>456</v>
      </c>
    </row>
    <row r="782" spans="1:14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7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6">
        <f t="shared" si="24"/>
        <v>427636</v>
      </c>
      <c r="N782" s="8">
        <f t="shared" si="25"/>
        <v>523</v>
      </c>
    </row>
    <row r="783" spans="1:14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7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6">
        <f t="shared" si="24"/>
        <v>432224</v>
      </c>
      <c r="N783" s="8">
        <f t="shared" si="25"/>
        <v>571</v>
      </c>
    </row>
    <row r="784" spans="1:14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7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6">
        <f t="shared" si="24"/>
        <v>800231</v>
      </c>
      <c r="N784" s="8">
        <f t="shared" si="25"/>
        <v>514</v>
      </c>
    </row>
    <row r="785" spans="1:14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7">
        <v>0</v>
      </c>
      <c r="I785" t="s">
        <v>28</v>
      </c>
      <c r="J785" t="s">
        <v>17</v>
      </c>
      <c r="K785">
        <v>504</v>
      </c>
      <c r="L785" s="2">
        <v>35504</v>
      </c>
      <c r="M785" s="6">
        <f t="shared" si="24"/>
        <v>388546</v>
      </c>
      <c r="N785" s="8">
        <f t="shared" si="25"/>
        <v>504</v>
      </c>
    </row>
    <row r="786" spans="1:14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7">
        <v>0</v>
      </c>
      <c r="I786" t="s">
        <v>16</v>
      </c>
      <c r="J786" t="s">
        <v>29</v>
      </c>
      <c r="K786">
        <v>972</v>
      </c>
      <c r="L786" s="2">
        <v>35972</v>
      </c>
      <c r="M786" s="6">
        <f t="shared" si="24"/>
        <v>447178</v>
      </c>
      <c r="N786" s="8">
        <f t="shared" si="25"/>
        <v>972</v>
      </c>
    </row>
    <row r="787" spans="1:14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7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6">
        <f t="shared" si="24"/>
        <v>849635</v>
      </c>
      <c r="N787" s="8">
        <f t="shared" si="25"/>
        <v>74</v>
      </c>
    </row>
    <row r="788" spans="1:14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7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6">
        <f t="shared" si="24"/>
        <v>2250088</v>
      </c>
      <c r="N788" s="8">
        <f t="shared" si="25"/>
        <v>341</v>
      </c>
    </row>
    <row r="789" spans="1:14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7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6">
        <f t="shared" si="24"/>
        <v>1630197</v>
      </c>
      <c r="N789" s="8">
        <f t="shared" si="25"/>
        <v>574</v>
      </c>
    </row>
    <row r="790" spans="1:14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7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6">
        <f t="shared" si="24"/>
        <v>231974</v>
      </c>
      <c r="N790" s="8">
        <f t="shared" si="25"/>
        <v>633</v>
      </c>
    </row>
    <row r="791" spans="1:14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7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6">
        <f t="shared" si="24"/>
        <v>871705</v>
      </c>
      <c r="N791" s="8">
        <f t="shared" si="25"/>
        <v>355</v>
      </c>
    </row>
    <row r="792" spans="1:14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7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6">
        <f t="shared" si="24"/>
        <v>286011</v>
      </c>
      <c r="N792" s="8">
        <f t="shared" si="25"/>
        <v>4</v>
      </c>
    </row>
    <row r="793" spans="1:14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7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6">
        <f t="shared" si="24"/>
        <v>245341</v>
      </c>
      <c r="N793" s="8">
        <f t="shared" si="25"/>
        <v>42</v>
      </c>
    </row>
    <row r="794" spans="1:14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7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6">
        <f t="shared" si="24"/>
        <v>598977</v>
      </c>
      <c r="N794" s="8">
        <f t="shared" si="25"/>
        <v>739</v>
      </c>
    </row>
    <row r="795" spans="1:14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7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6">
        <f t="shared" si="24"/>
        <v>2498023</v>
      </c>
      <c r="N795" s="8">
        <f t="shared" si="25"/>
        <v>27</v>
      </c>
    </row>
    <row r="796" spans="1:14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7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6">
        <f t="shared" si="24"/>
        <v>748264</v>
      </c>
      <c r="N796" s="8">
        <f t="shared" si="25"/>
        <v>270</v>
      </c>
    </row>
    <row r="797" spans="1:14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7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6">
        <f t="shared" si="24"/>
        <v>245758</v>
      </c>
      <c r="N797" s="8">
        <f t="shared" si="25"/>
        <v>293</v>
      </c>
    </row>
    <row r="798" spans="1:14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7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6">
        <f t="shared" si="24"/>
        <v>237974</v>
      </c>
      <c r="N798" s="8">
        <f t="shared" si="25"/>
        <v>495</v>
      </c>
    </row>
    <row r="799" spans="1:14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7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6">
        <f t="shared" si="24"/>
        <v>828696</v>
      </c>
      <c r="N799" s="8">
        <f t="shared" si="25"/>
        <v>143</v>
      </c>
    </row>
    <row r="800" spans="1:14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7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6">
        <f t="shared" si="24"/>
        <v>239392</v>
      </c>
      <c r="N800" s="8">
        <f t="shared" si="25"/>
        <v>425</v>
      </c>
    </row>
    <row r="801" spans="1:14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7">
        <v>0</v>
      </c>
      <c r="I801" t="s">
        <v>16</v>
      </c>
      <c r="J801" t="s">
        <v>24</v>
      </c>
      <c r="K801">
        <v>312</v>
      </c>
      <c r="L801" s="2">
        <v>35312</v>
      </c>
      <c r="M801" s="6">
        <f t="shared" si="24"/>
        <v>465716</v>
      </c>
      <c r="N801" s="8">
        <f t="shared" si="25"/>
        <v>312</v>
      </c>
    </row>
    <row r="802" spans="1:14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7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6">
        <f t="shared" si="24"/>
        <v>1319793</v>
      </c>
      <c r="N802" s="8">
        <f t="shared" si="25"/>
        <v>326</v>
      </c>
    </row>
    <row r="803" spans="1:14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7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6">
        <f t="shared" si="24"/>
        <v>280392</v>
      </c>
      <c r="N803" s="8">
        <f t="shared" si="25"/>
        <v>251</v>
      </c>
    </row>
    <row r="804" spans="1:14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7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6">
        <f t="shared" si="24"/>
        <v>864650</v>
      </c>
      <c r="N804" s="8">
        <f t="shared" si="25"/>
        <v>370</v>
      </c>
    </row>
    <row r="805" spans="1:14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7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6">
        <f t="shared" si="24"/>
        <v>742587</v>
      </c>
      <c r="N805" s="8">
        <f t="shared" si="25"/>
        <v>161</v>
      </c>
    </row>
    <row r="806" spans="1:14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7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6">
        <f t="shared" si="24"/>
        <v>452874</v>
      </c>
      <c r="N806" s="8">
        <f t="shared" si="25"/>
        <v>538</v>
      </c>
    </row>
    <row r="807" spans="1:14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7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6">
        <f t="shared" si="24"/>
        <v>222707</v>
      </c>
      <c r="N807" s="8">
        <f t="shared" si="25"/>
        <v>293</v>
      </c>
    </row>
    <row r="808" spans="1:14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7">
        <v>0</v>
      </c>
      <c r="I808" t="s">
        <v>16</v>
      </c>
      <c r="J808" t="s">
        <v>17</v>
      </c>
      <c r="K808">
        <v>312</v>
      </c>
      <c r="L808" s="2">
        <v>35312</v>
      </c>
      <c r="M808" s="6">
        <f t="shared" si="24"/>
        <v>729295</v>
      </c>
      <c r="N808" s="8">
        <f t="shared" si="25"/>
        <v>312</v>
      </c>
    </row>
    <row r="809" spans="1:14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7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6">
        <f t="shared" si="24"/>
        <v>318436</v>
      </c>
      <c r="N809" s="8">
        <f t="shared" si="25"/>
        <v>256</v>
      </c>
    </row>
    <row r="810" spans="1:14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7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6">
        <f t="shared" si="24"/>
        <v>1131520</v>
      </c>
      <c r="N810" s="8">
        <f t="shared" si="25"/>
        <v>485</v>
      </c>
    </row>
    <row r="811" spans="1:14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7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6">
        <f t="shared" si="24"/>
        <v>253071</v>
      </c>
      <c r="N811" s="8">
        <f t="shared" si="25"/>
        <v>62</v>
      </c>
    </row>
    <row r="812" spans="1:14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7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6">
        <f t="shared" si="24"/>
        <v>1836156</v>
      </c>
      <c r="N812" s="8">
        <f t="shared" si="25"/>
        <v>1310</v>
      </c>
    </row>
    <row r="813" spans="1:14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7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6">
        <f t="shared" si="24"/>
        <v>864153</v>
      </c>
      <c r="N813" s="8">
        <f t="shared" si="25"/>
        <v>250</v>
      </c>
    </row>
    <row r="814" spans="1:14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7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6">
        <f t="shared" si="24"/>
        <v>327853</v>
      </c>
      <c r="N814" s="8">
        <f t="shared" si="25"/>
        <v>142</v>
      </c>
    </row>
    <row r="815" spans="1:14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7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6">
        <f t="shared" si="24"/>
        <v>527198</v>
      </c>
      <c r="N815" s="8">
        <f t="shared" si="25"/>
        <v>322</v>
      </c>
    </row>
    <row r="816" spans="1:14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7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6">
        <f t="shared" si="24"/>
        <v>376364</v>
      </c>
      <c r="N816" s="8">
        <f t="shared" si="25"/>
        <v>50</v>
      </c>
    </row>
    <row r="817" spans="1:14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7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6">
        <f t="shared" si="24"/>
        <v>1395557</v>
      </c>
      <c r="N817" s="8">
        <f t="shared" si="25"/>
        <v>372</v>
      </c>
    </row>
    <row r="818" spans="1:14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7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6">
        <f t="shared" si="24"/>
        <v>500153</v>
      </c>
      <c r="N818" s="8">
        <f t="shared" si="25"/>
        <v>542</v>
      </c>
    </row>
    <row r="819" spans="1:14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7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6">
        <f t="shared" si="24"/>
        <v>708283</v>
      </c>
      <c r="N819" s="8">
        <f t="shared" si="25"/>
        <v>1361</v>
      </c>
    </row>
    <row r="820" spans="1:14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7">
        <v>0</v>
      </c>
      <c r="I820" t="s">
        <v>16</v>
      </c>
      <c r="J820" t="s">
        <v>17</v>
      </c>
      <c r="K820">
        <v>504</v>
      </c>
      <c r="L820" s="2">
        <v>35504</v>
      </c>
      <c r="M820" s="6">
        <f t="shared" si="24"/>
        <v>761948</v>
      </c>
      <c r="N820" s="8">
        <f t="shared" si="25"/>
        <v>504</v>
      </c>
    </row>
    <row r="821" spans="1:14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7">
        <v>0</v>
      </c>
      <c r="I821" t="s">
        <v>16</v>
      </c>
      <c r="J821" t="s">
        <v>29</v>
      </c>
      <c r="K821">
        <v>768</v>
      </c>
      <c r="L821" s="2">
        <v>35768</v>
      </c>
      <c r="M821" s="6">
        <f t="shared" si="24"/>
        <v>1255088</v>
      </c>
      <c r="N821" s="8">
        <f t="shared" si="25"/>
        <v>768</v>
      </c>
    </row>
    <row r="822" spans="1:14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7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6">
        <f t="shared" si="24"/>
        <v>3219660</v>
      </c>
      <c r="N822" s="8">
        <f t="shared" si="25"/>
        <v>73</v>
      </c>
    </row>
    <row r="823" spans="1:14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7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6">
        <f t="shared" si="24"/>
        <v>679377</v>
      </c>
      <c r="N823" s="8">
        <f t="shared" si="25"/>
        <v>721</v>
      </c>
    </row>
    <row r="824" spans="1:14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7">
        <v>0</v>
      </c>
      <c r="I824" t="s">
        <v>16</v>
      </c>
      <c r="J824" t="s">
        <v>17</v>
      </c>
      <c r="K824">
        <v>576</v>
      </c>
      <c r="L824" s="2">
        <v>35576</v>
      </c>
      <c r="M824" s="6">
        <f t="shared" si="24"/>
        <v>527232</v>
      </c>
      <c r="N824" s="8">
        <f t="shared" si="25"/>
        <v>576</v>
      </c>
    </row>
    <row r="825" spans="1:14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7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6">
        <f t="shared" si="24"/>
        <v>626534</v>
      </c>
      <c r="N825" s="8">
        <f t="shared" si="25"/>
        <v>481</v>
      </c>
    </row>
    <row r="826" spans="1:14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7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6">
        <f t="shared" si="24"/>
        <v>854759</v>
      </c>
      <c r="N826" s="8">
        <f t="shared" si="25"/>
        <v>466</v>
      </c>
    </row>
    <row r="827" spans="1:14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7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6">
        <f t="shared" si="24"/>
        <v>278742</v>
      </c>
      <c r="N827" s="8">
        <f t="shared" si="25"/>
        <v>159</v>
      </c>
    </row>
    <row r="828" spans="1:14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7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6">
        <f t="shared" si="24"/>
        <v>462680</v>
      </c>
      <c r="N828" s="8">
        <f t="shared" si="25"/>
        <v>547</v>
      </c>
    </row>
    <row r="829" spans="1:14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7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6">
        <f t="shared" si="24"/>
        <v>866336</v>
      </c>
      <c r="N829" s="8">
        <f t="shared" si="25"/>
        <v>41</v>
      </c>
    </row>
    <row r="830" spans="1:14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7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6">
        <f t="shared" si="24"/>
        <v>387222</v>
      </c>
      <c r="N830" s="8">
        <f t="shared" si="25"/>
        <v>504</v>
      </c>
    </row>
    <row r="831" spans="1:14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7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6">
        <f t="shared" si="24"/>
        <v>517081</v>
      </c>
      <c r="N831" s="8">
        <f t="shared" si="25"/>
        <v>860</v>
      </c>
    </row>
    <row r="832" spans="1:14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7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6">
        <f t="shared" si="24"/>
        <v>896028</v>
      </c>
      <c r="N832" s="8">
        <f t="shared" si="25"/>
        <v>306</v>
      </c>
    </row>
    <row r="833" spans="1:14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7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6">
        <f t="shared" si="24"/>
        <v>547183</v>
      </c>
      <c r="N833" s="8">
        <f t="shared" si="25"/>
        <v>279</v>
      </c>
    </row>
    <row r="834" spans="1:14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7">
        <v>0</v>
      </c>
      <c r="I834" t="s">
        <v>16</v>
      </c>
      <c r="J834" t="s">
        <v>117</v>
      </c>
      <c r="K834">
        <v>1416</v>
      </c>
      <c r="L834" s="2">
        <v>36416</v>
      </c>
      <c r="M834" s="6">
        <f t="shared" si="24"/>
        <v>3493100</v>
      </c>
      <c r="N834" s="8">
        <f t="shared" si="25"/>
        <v>1416</v>
      </c>
    </row>
    <row r="835" spans="1:14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7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6">
        <f t="shared" ref="M835:M898" si="26">VALUE(TEXT(E835,"0.00"))</f>
        <v>262039</v>
      </c>
      <c r="N835" s="8">
        <f t="shared" ref="N835:N898" si="27">VALUE(TEXT(K835,"0.00"))</f>
        <v>140</v>
      </c>
    </row>
    <row r="836" spans="1:14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7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6">
        <f t="shared" si="26"/>
        <v>1906950</v>
      </c>
      <c r="N836" s="8">
        <f t="shared" si="27"/>
        <v>734</v>
      </c>
    </row>
    <row r="837" spans="1:14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7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6">
        <f t="shared" si="26"/>
        <v>575744</v>
      </c>
      <c r="N837" s="8">
        <f t="shared" si="27"/>
        <v>174</v>
      </c>
    </row>
    <row r="838" spans="1:14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7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6">
        <f t="shared" si="26"/>
        <v>4022401</v>
      </c>
      <c r="N838" s="8">
        <f t="shared" si="27"/>
        <v>533</v>
      </c>
    </row>
    <row r="839" spans="1:14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7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6">
        <f t="shared" si="26"/>
        <v>270149</v>
      </c>
      <c r="N839" s="8">
        <f t="shared" si="27"/>
        <v>322</v>
      </c>
    </row>
    <row r="840" spans="1:14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7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6">
        <f t="shared" si="26"/>
        <v>371243</v>
      </c>
      <c r="N840" s="8">
        <f t="shared" si="27"/>
        <v>37</v>
      </c>
    </row>
    <row r="841" spans="1:14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7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6">
        <f t="shared" si="26"/>
        <v>2185084</v>
      </c>
      <c r="N841" s="8">
        <f t="shared" si="27"/>
        <v>96</v>
      </c>
    </row>
    <row r="842" spans="1:14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7">
        <v>36557</v>
      </c>
      <c r="I842" t="s">
        <v>16</v>
      </c>
      <c r="J842" t="s">
        <v>65</v>
      </c>
      <c r="K842">
        <v>1008</v>
      </c>
      <c r="L842" s="2">
        <v>36008</v>
      </c>
      <c r="M842" s="6">
        <f t="shared" si="26"/>
        <v>784017</v>
      </c>
      <c r="N842" s="8">
        <f t="shared" si="27"/>
        <v>1008</v>
      </c>
    </row>
    <row r="843" spans="1:14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7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6">
        <f t="shared" si="26"/>
        <v>823704</v>
      </c>
      <c r="N843" s="8">
        <f t="shared" si="27"/>
        <v>514</v>
      </c>
    </row>
    <row r="844" spans="1:14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7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6">
        <f t="shared" si="26"/>
        <v>224347</v>
      </c>
      <c r="N844" s="8">
        <f t="shared" si="27"/>
        <v>446</v>
      </c>
    </row>
    <row r="845" spans="1:14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7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6">
        <f t="shared" si="26"/>
        <v>843446</v>
      </c>
      <c r="N845" s="8">
        <f t="shared" si="27"/>
        <v>72</v>
      </c>
    </row>
    <row r="846" spans="1:14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7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6">
        <f t="shared" si="26"/>
        <v>222707</v>
      </c>
      <c r="N846" s="8">
        <f t="shared" si="27"/>
        <v>293</v>
      </c>
    </row>
    <row r="847" spans="1:14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7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6">
        <f t="shared" si="26"/>
        <v>517003</v>
      </c>
      <c r="N847" s="8">
        <f t="shared" si="27"/>
        <v>331</v>
      </c>
    </row>
    <row r="848" spans="1:14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7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6">
        <f t="shared" si="26"/>
        <v>264145</v>
      </c>
      <c r="N848" s="8">
        <f t="shared" si="27"/>
        <v>475</v>
      </c>
    </row>
    <row r="849" spans="1:14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7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6">
        <f t="shared" si="26"/>
        <v>279068</v>
      </c>
      <c r="N849" s="8">
        <f t="shared" si="27"/>
        <v>331</v>
      </c>
    </row>
    <row r="850" spans="1:14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7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6">
        <f t="shared" si="26"/>
        <v>274513</v>
      </c>
      <c r="N850" s="8">
        <f t="shared" si="27"/>
        <v>331</v>
      </c>
    </row>
    <row r="851" spans="1:14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7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6">
        <f t="shared" si="26"/>
        <v>757953</v>
      </c>
      <c r="N851" s="8">
        <f t="shared" si="27"/>
        <v>402</v>
      </c>
    </row>
    <row r="852" spans="1:14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7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6">
        <f t="shared" si="26"/>
        <v>1097878</v>
      </c>
      <c r="N852" s="8">
        <f t="shared" si="27"/>
        <v>253</v>
      </c>
    </row>
    <row r="853" spans="1:14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7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6">
        <f t="shared" si="26"/>
        <v>825506</v>
      </c>
      <c r="N853" s="8">
        <f t="shared" si="27"/>
        <v>643</v>
      </c>
    </row>
    <row r="854" spans="1:14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7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6">
        <f t="shared" si="26"/>
        <v>474773</v>
      </c>
      <c r="N854" s="8">
        <f t="shared" si="27"/>
        <v>800</v>
      </c>
    </row>
    <row r="855" spans="1:14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7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6">
        <f t="shared" si="26"/>
        <v>354090</v>
      </c>
      <c r="N855" s="8">
        <f t="shared" si="27"/>
        <v>727</v>
      </c>
    </row>
    <row r="856" spans="1:14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7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6">
        <f t="shared" si="26"/>
        <v>343613</v>
      </c>
      <c r="N856" s="8">
        <f t="shared" si="27"/>
        <v>92</v>
      </c>
    </row>
    <row r="857" spans="1:14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7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6">
        <f t="shared" si="26"/>
        <v>258219</v>
      </c>
      <c r="N857" s="8">
        <f t="shared" si="27"/>
        <v>28</v>
      </c>
    </row>
    <row r="858" spans="1:14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7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6">
        <f t="shared" si="26"/>
        <v>1166510</v>
      </c>
      <c r="N858" s="8">
        <f t="shared" si="27"/>
        <v>167</v>
      </c>
    </row>
    <row r="859" spans="1:14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7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6">
        <f t="shared" si="26"/>
        <v>739628</v>
      </c>
      <c r="N859" s="8">
        <f t="shared" si="27"/>
        <v>271</v>
      </c>
    </row>
    <row r="860" spans="1:14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7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6">
        <f t="shared" si="26"/>
        <v>433080</v>
      </c>
      <c r="N860" s="8">
        <f t="shared" si="27"/>
        <v>293</v>
      </c>
    </row>
    <row r="861" spans="1:14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7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6">
        <f t="shared" si="26"/>
        <v>907577</v>
      </c>
      <c r="N861" s="8">
        <f t="shared" si="27"/>
        <v>158</v>
      </c>
    </row>
    <row r="862" spans="1:14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7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6">
        <f t="shared" si="26"/>
        <v>1463545</v>
      </c>
      <c r="N862" s="8">
        <f t="shared" si="27"/>
        <v>667</v>
      </c>
    </row>
    <row r="863" spans="1:14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7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6">
        <f t="shared" si="26"/>
        <v>856477</v>
      </c>
      <c r="N863" s="8">
        <f t="shared" si="27"/>
        <v>178</v>
      </c>
    </row>
    <row r="864" spans="1:14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7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6">
        <f t="shared" si="26"/>
        <v>1156569</v>
      </c>
      <c r="N864" s="8">
        <f t="shared" si="27"/>
        <v>404</v>
      </c>
    </row>
    <row r="865" spans="1:14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7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6">
        <f t="shared" si="26"/>
        <v>277105</v>
      </c>
      <c r="N865" s="8">
        <f t="shared" si="27"/>
        <v>19</v>
      </c>
    </row>
    <row r="866" spans="1:14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7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6">
        <f t="shared" si="26"/>
        <v>850713</v>
      </c>
      <c r="N866" s="8">
        <f t="shared" si="27"/>
        <v>514</v>
      </c>
    </row>
    <row r="867" spans="1:14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7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6">
        <f t="shared" si="26"/>
        <v>758211</v>
      </c>
      <c r="N867" s="8">
        <f t="shared" si="27"/>
        <v>268</v>
      </c>
    </row>
    <row r="868" spans="1:14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7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6">
        <f t="shared" si="26"/>
        <v>332309</v>
      </c>
      <c r="N868" s="8">
        <f t="shared" si="27"/>
        <v>132</v>
      </c>
    </row>
    <row r="869" spans="1:14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7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6">
        <f t="shared" si="26"/>
        <v>523433</v>
      </c>
      <c r="N869" s="8">
        <f t="shared" si="27"/>
        <v>629</v>
      </c>
    </row>
    <row r="870" spans="1:14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7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6">
        <f t="shared" si="26"/>
        <v>2470960</v>
      </c>
      <c r="N870" s="8">
        <f t="shared" si="27"/>
        <v>374</v>
      </c>
    </row>
    <row r="871" spans="1:14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7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6">
        <f t="shared" si="26"/>
        <v>1778628</v>
      </c>
      <c r="N871" s="8">
        <f t="shared" si="27"/>
        <v>179</v>
      </c>
    </row>
    <row r="872" spans="1:14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7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6">
        <f t="shared" si="26"/>
        <v>255123</v>
      </c>
      <c r="N872" s="8">
        <f t="shared" si="27"/>
        <v>392</v>
      </c>
    </row>
    <row r="873" spans="1:14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7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6">
        <f t="shared" si="26"/>
        <v>724771</v>
      </c>
      <c r="N873" s="8">
        <f t="shared" si="27"/>
        <v>874</v>
      </c>
    </row>
    <row r="874" spans="1:14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7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6">
        <f t="shared" si="26"/>
        <v>453885</v>
      </c>
      <c r="N874" s="8">
        <f t="shared" si="27"/>
        <v>0</v>
      </c>
    </row>
    <row r="875" spans="1:14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7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6">
        <f t="shared" si="26"/>
        <v>3164210</v>
      </c>
      <c r="N875" s="8">
        <f t="shared" si="27"/>
        <v>187</v>
      </c>
    </row>
    <row r="876" spans="1:14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7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6">
        <f t="shared" si="26"/>
        <v>873042</v>
      </c>
      <c r="N876" s="8">
        <f t="shared" si="27"/>
        <v>350</v>
      </c>
    </row>
    <row r="877" spans="1:14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7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6">
        <f t="shared" si="26"/>
        <v>833273</v>
      </c>
      <c r="N877" s="8">
        <f t="shared" si="27"/>
        <v>379</v>
      </c>
    </row>
    <row r="878" spans="1:14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7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6">
        <f t="shared" si="26"/>
        <v>235775</v>
      </c>
      <c r="N878" s="8">
        <f t="shared" si="27"/>
        <v>298</v>
      </c>
    </row>
    <row r="879" spans="1:14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7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6">
        <f t="shared" si="26"/>
        <v>463716</v>
      </c>
      <c r="N879" s="8">
        <f t="shared" si="27"/>
        <v>571</v>
      </c>
    </row>
    <row r="880" spans="1:14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7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6">
        <f t="shared" si="26"/>
        <v>535719</v>
      </c>
      <c r="N880" s="8">
        <f t="shared" si="27"/>
        <v>351</v>
      </c>
    </row>
    <row r="881" spans="1:14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7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6">
        <f t="shared" si="26"/>
        <v>539197</v>
      </c>
      <c r="N881" s="8">
        <f t="shared" si="27"/>
        <v>218</v>
      </c>
    </row>
    <row r="882" spans="1:14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7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6">
        <f t="shared" si="26"/>
        <v>369414</v>
      </c>
      <c r="N882" s="8">
        <f t="shared" si="27"/>
        <v>442</v>
      </c>
    </row>
    <row r="883" spans="1:14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7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6">
        <f t="shared" si="26"/>
        <v>504041</v>
      </c>
      <c r="N883" s="8">
        <f t="shared" si="27"/>
        <v>26</v>
      </c>
    </row>
    <row r="884" spans="1:14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7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6">
        <f t="shared" si="26"/>
        <v>2749542</v>
      </c>
      <c r="N884" s="8">
        <f t="shared" si="27"/>
        <v>475</v>
      </c>
    </row>
    <row r="885" spans="1:14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7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6">
        <f t="shared" si="26"/>
        <v>484229</v>
      </c>
      <c r="N885" s="8">
        <f t="shared" si="27"/>
        <v>298</v>
      </c>
    </row>
    <row r="886" spans="1:14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7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6">
        <f t="shared" si="26"/>
        <v>2738282</v>
      </c>
      <c r="N886" s="8">
        <f t="shared" si="27"/>
        <v>189</v>
      </c>
    </row>
    <row r="887" spans="1:14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7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6">
        <f t="shared" si="26"/>
        <v>522710</v>
      </c>
      <c r="N887" s="8">
        <f t="shared" si="27"/>
        <v>629</v>
      </c>
    </row>
    <row r="888" spans="1:14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7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6">
        <f t="shared" si="26"/>
        <v>259010</v>
      </c>
      <c r="N888" s="8">
        <f t="shared" si="27"/>
        <v>322</v>
      </c>
    </row>
    <row r="889" spans="1:14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7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6">
        <f t="shared" si="26"/>
        <v>1053608</v>
      </c>
      <c r="N889" s="8">
        <f t="shared" si="27"/>
        <v>153</v>
      </c>
    </row>
    <row r="890" spans="1:14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7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6">
        <f t="shared" si="26"/>
        <v>858128</v>
      </c>
      <c r="N890" s="8">
        <f t="shared" si="27"/>
        <v>2893</v>
      </c>
    </row>
    <row r="891" spans="1:14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7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6">
        <f t="shared" si="26"/>
        <v>946311</v>
      </c>
      <c r="N891" s="8">
        <f t="shared" si="27"/>
        <v>630</v>
      </c>
    </row>
    <row r="892" spans="1:14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7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6">
        <f t="shared" si="26"/>
        <v>1344101</v>
      </c>
      <c r="N892" s="8">
        <f t="shared" si="27"/>
        <v>361</v>
      </c>
    </row>
    <row r="893" spans="1:14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7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6">
        <f t="shared" si="26"/>
        <v>388650</v>
      </c>
      <c r="N893" s="8">
        <f t="shared" si="27"/>
        <v>1186</v>
      </c>
    </row>
    <row r="894" spans="1:14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7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6">
        <f t="shared" si="26"/>
        <v>678489</v>
      </c>
      <c r="N894" s="8">
        <f t="shared" si="27"/>
        <v>461</v>
      </c>
    </row>
    <row r="895" spans="1:14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7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6">
        <f t="shared" si="26"/>
        <v>2359468</v>
      </c>
      <c r="N895" s="8">
        <f t="shared" si="27"/>
        <v>86</v>
      </c>
    </row>
    <row r="896" spans="1:14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7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6">
        <f t="shared" si="26"/>
        <v>253863</v>
      </c>
      <c r="N896" s="8">
        <f t="shared" si="27"/>
        <v>341</v>
      </c>
    </row>
    <row r="897" spans="1:14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7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6">
        <f t="shared" si="26"/>
        <v>563994</v>
      </c>
      <c r="N897" s="8">
        <f t="shared" si="27"/>
        <v>426</v>
      </c>
    </row>
    <row r="898" spans="1:14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7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6">
        <f t="shared" si="26"/>
        <v>1168137</v>
      </c>
      <c r="N898" s="8">
        <f t="shared" si="27"/>
        <v>190</v>
      </c>
    </row>
    <row r="899" spans="1:14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7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6">
        <f t="shared" ref="M899:M962" si="28">VALUE(TEXT(E899,"0.00"))</f>
        <v>2599775</v>
      </c>
      <c r="N899" s="8">
        <f t="shared" ref="N899:N962" si="29">VALUE(TEXT(K899,"0.00"))</f>
        <v>194</v>
      </c>
    </row>
    <row r="900" spans="1:14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7">
        <v>0</v>
      </c>
      <c r="I900" t="s">
        <v>28</v>
      </c>
      <c r="J900" t="s">
        <v>24</v>
      </c>
      <c r="K900">
        <v>24.087774</v>
      </c>
      <c r="L900" s="2">
        <v>35024.087774</v>
      </c>
      <c r="M900" s="6">
        <f t="shared" si="28"/>
        <v>1377837</v>
      </c>
      <c r="N900" s="8">
        <f t="shared" si="29"/>
        <v>24</v>
      </c>
    </row>
    <row r="901" spans="1:14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7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6">
        <f t="shared" si="28"/>
        <v>492318</v>
      </c>
      <c r="N901" s="8">
        <f t="shared" si="29"/>
        <v>302</v>
      </c>
    </row>
    <row r="902" spans="1:14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7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6">
        <f t="shared" si="28"/>
        <v>227234</v>
      </c>
      <c r="N902" s="8">
        <f t="shared" si="29"/>
        <v>219</v>
      </c>
    </row>
    <row r="903" spans="1:14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7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6">
        <f t="shared" si="28"/>
        <v>1489540</v>
      </c>
      <c r="N903" s="8">
        <f t="shared" si="29"/>
        <v>881</v>
      </c>
    </row>
    <row r="904" spans="1:14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7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6">
        <f t="shared" si="28"/>
        <v>975605</v>
      </c>
      <c r="N904" s="8">
        <f t="shared" si="29"/>
        <v>27</v>
      </c>
    </row>
    <row r="905" spans="1:14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7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6">
        <f t="shared" si="28"/>
        <v>942297</v>
      </c>
      <c r="N905" s="8">
        <f t="shared" si="29"/>
        <v>466</v>
      </c>
    </row>
    <row r="906" spans="1:14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7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6">
        <f t="shared" si="28"/>
        <v>383736</v>
      </c>
      <c r="N906" s="8">
        <f t="shared" si="29"/>
        <v>475</v>
      </c>
    </row>
    <row r="907" spans="1:14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7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6">
        <f t="shared" si="28"/>
        <v>1095213</v>
      </c>
      <c r="N907" s="8">
        <f t="shared" si="29"/>
        <v>607</v>
      </c>
    </row>
    <row r="908" spans="1:14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7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6">
        <f t="shared" si="28"/>
        <v>815914</v>
      </c>
      <c r="N908" s="8">
        <f t="shared" si="29"/>
        <v>331</v>
      </c>
    </row>
    <row r="909" spans="1:14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7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6">
        <f t="shared" si="28"/>
        <v>1948050</v>
      </c>
      <c r="N909" s="8">
        <f t="shared" si="29"/>
        <v>290</v>
      </c>
    </row>
    <row r="910" spans="1:14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7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6">
        <f t="shared" si="28"/>
        <v>391937</v>
      </c>
      <c r="N910" s="8">
        <f t="shared" si="29"/>
        <v>558</v>
      </c>
    </row>
    <row r="911" spans="1:14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7">
        <v>36586</v>
      </c>
      <c r="I911" t="s">
        <v>28</v>
      </c>
      <c r="J911" t="s">
        <v>17</v>
      </c>
      <c r="K911">
        <v>336</v>
      </c>
      <c r="L911" s="2">
        <v>35336</v>
      </c>
      <c r="M911" s="6">
        <f t="shared" si="28"/>
        <v>798514</v>
      </c>
      <c r="N911" s="8">
        <f t="shared" si="29"/>
        <v>336</v>
      </c>
    </row>
    <row r="912" spans="1:14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7">
        <v>0</v>
      </c>
      <c r="I912" t="s">
        <v>16</v>
      </c>
      <c r="J912" t="s">
        <v>29</v>
      </c>
      <c r="K912">
        <v>828</v>
      </c>
      <c r="L912" s="2">
        <v>35828</v>
      </c>
      <c r="M912" s="6">
        <f t="shared" si="28"/>
        <v>1216874</v>
      </c>
      <c r="N912" s="8">
        <f t="shared" si="29"/>
        <v>828</v>
      </c>
    </row>
    <row r="913" spans="1:14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7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6">
        <f t="shared" si="28"/>
        <v>584932</v>
      </c>
      <c r="N913" s="8">
        <f t="shared" si="29"/>
        <v>541</v>
      </c>
    </row>
    <row r="914" spans="1:14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7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6">
        <f t="shared" si="28"/>
        <v>508584</v>
      </c>
      <c r="N914" s="8">
        <f t="shared" si="29"/>
        <v>100</v>
      </c>
    </row>
    <row r="915" spans="1:14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7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6">
        <f t="shared" si="28"/>
        <v>290394</v>
      </c>
      <c r="N915" s="8">
        <f t="shared" si="29"/>
        <v>60</v>
      </c>
    </row>
    <row r="916" spans="1:14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7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6">
        <f t="shared" si="28"/>
        <v>627317</v>
      </c>
      <c r="N916" s="8">
        <f t="shared" si="29"/>
        <v>194</v>
      </c>
    </row>
    <row r="917" spans="1:14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7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6">
        <f t="shared" si="28"/>
        <v>1832142</v>
      </c>
      <c r="N917" s="8">
        <f t="shared" si="29"/>
        <v>200</v>
      </c>
    </row>
    <row r="918" spans="1:14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7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6">
        <f t="shared" si="28"/>
        <v>517870</v>
      </c>
      <c r="N918" s="8">
        <f t="shared" si="29"/>
        <v>53</v>
      </c>
    </row>
    <row r="919" spans="1:14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7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6">
        <f t="shared" si="28"/>
        <v>1402436</v>
      </c>
      <c r="N919" s="8">
        <f t="shared" si="29"/>
        <v>256</v>
      </c>
    </row>
    <row r="920" spans="1:14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7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6">
        <f t="shared" si="28"/>
        <v>530944</v>
      </c>
      <c r="N920" s="8">
        <f t="shared" si="29"/>
        <v>211</v>
      </c>
    </row>
    <row r="921" spans="1:14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7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6">
        <f t="shared" si="28"/>
        <v>494980</v>
      </c>
      <c r="N921" s="8">
        <f t="shared" si="29"/>
        <v>74</v>
      </c>
    </row>
    <row r="922" spans="1:14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7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6">
        <f t="shared" si="28"/>
        <v>859567</v>
      </c>
      <c r="N922" s="8">
        <f t="shared" si="29"/>
        <v>621</v>
      </c>
    </row>
    <row r="923" spans="1:14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7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6">
        <f t="shared" si="28"/>
        <v>2295189</v>
      </c>
      <c r="N923" s="8">
        <f t="shared" si="29"/>
        <v>307</v>
      </c>
    </row>
    <row r="924" spans="1:14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7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6">
        <f t="shared" si="28"/>
        <v>379213</v>
      </c>
      <c r="N924" s="8">
        <f t="shared" si="29"/>
        <v>360</v>
      </c>
    </row>
    <row r="925" spans="1:14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7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6">
        <f t="shared" si="28"/>
        <v>275575</v>
      </c>
      <c r="N925" s="8">
        <f t="shared" si="29"/>
        <v>66</v>
      </c>
    </row>
    <row r="926" spans="1:14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7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6">
        <f t="shared" si="28"/>
        <v>488034</v>
      </c>
      <c r="N926" s="8">
        <f t="shared" si="29"/>
        <v>407</v>
      </c>
    </row>
    <row r="927" spans="1:14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7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6">
        <f t="shared" si="28"/>
        <v>905191</v>
      </c>
      <c r="N927" s="8">
        <f t="shared" si="29"/>
        <v>547</v>
      </c>
    </row>
    <row r="928" spans="1:14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7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6">
        <f t="shared" si="28"/>
        <v>1011545</v>
      </c>
      <c r="N928" s="8">
        <f t="shared" si="29"/>
        <v>1229</v>
      </c>
    </row>
    <row r="929" spans="1:14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7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6">
        <f t="shared" si="28"/>
        <v>826908</v>
      </c>
      <c r="N929" s="8">
        <f t="shared" si="29"/>
        <v>547</v>
      </c>
    </row>
    <row r="930" spans="1:14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7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6">
        <f t="shared" si="28"/>
        <v>807165</v>
      </c>
      <c r="N930" s="8">
        <f t="shared" si="29"/>
        <v>806</v>
      </c>
    </row>
    <row r="931" spans="1:14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7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6">
        <f t="shared" si="28"/>
        <v>772699</v>
      </c>
      <c r="N931" s="8">
        <f t="shared" si="29"/>
        <v>24</v>
      </c>
    </row>
    <row r="932" spans="1:14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7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6">
        <f t="shared" si="28"/>
        <v>831114</v>
      </c>
      <c r="N932" s="8">
        <f t="shared" si="29"/>
        <v>311</v>
      </c>
    </row>
    <row r="933" spans="1:14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7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6">
        <f t="shared" si="28"/>
        <v>257402</v>
      </c>
      <c r="N933" s="8">
        <f t="shared" si="29"/>
        <v>43</v>
      </c>
    </row>
    <row r="934" spans="1:14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7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6">
        <f t="shared" si="28"/>
        <v>572733</v>
      </c>
      <c r="N934" s="8">
        <f t="shared" si="29"/>
        <v>460</v>
      </c>
    </row>
    <row r="935" spans="1:14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7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6">
        <f t="shared" si="28"/>
        <v>367914</v>
      </c>
      <c r="N935" s="8">
        <f t="shared" si="29"/>
        <v>213</v>
      </c>
    </row>
    <row r="936" spans="1:14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7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6">
        <f t="shared" si="28"/>
        <v>274452</v>
      </c>
      <c r="N936" s="8">
        <f t="shared" si="29"/>
        <v>331</v>
      </c>
    </row>
    <row r="937" spans="1:14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7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6">
        <f t="shared" si="28"/>
        <v>563674</v>
      </c>
      <c r="N937" s="8">
        <f t="shared" si="29"/>
        <v>301</v>
      </c>
    </row>
    <row r="938" spans="1:14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7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6">
        <f t="shared" si="28"/>
        <v>1687039</v>
      </c>
      <c r="N938" s="8">
        <f t="shared" si="29"/>
        <v>263</v>
      </c>
    </row>
    <row r="939" spans="1:14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7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6">
        <f t="shared" si="28"/>
        <v>273800</v>
      </c>
      <c r="N939" s="8">
        <f t="shared" si="29"/>
        <v>263</v>
      </c>
    </row>
    <row r="940" spans="1:14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7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6">
        <f t="shared" si="28"/>
        <v>464470</v>
      </c>
      <c r="N940" s="8">
        <f t="shared" si="29"/>
        <v>307</v>
      </c>
    </row>
    <row r="941" spans="1:14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7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6">
        <f t="shared" si="28"/>
        <v>474669</v>
      </c>
      <c r="N941" s="8">
        <f t="shared" si="29"/>
        <v>302</v>
      </c>
    </row>
    <row r="942" spans="1:14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7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6">
        <f t="shared" si="28"/>
        <v>1687433</v>
      </c>
      <c r="N942" s="8">
        <f t="shared" si="29"/>
        <v>256</v>
      </c>
    </row>
    <row r="943" spans="1:14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7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6">
        <f t="shared" si="28"/>
        <v>238761</v>
      </c>
      <c r="N943" s="8">
        <f t="shared" si="29"/>
        <v>298</v>
      </c>
    </row>
    <row r="944" spans="1:14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7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6">
        <f t="shared" si="28"/>
        <v>446534</v>
      </c>
      <c r="N944" s="8">
        <f t="shared" si="29"/>
        <v>216</v>
      </c>
    </row>
    <row r="945" spans="1:14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7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6">
        <f t="shared" si="28"/>
        <v>459163</v>
      </c>
      <c r="N945" s="8">
        <f t="shared" si="29"/>
        <v>542</v>
      </c>
    </row>
    <row r="946" spans="1:14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7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6">
        <f t="shared" si="28"/>
        <v>1309259</v>
      </c>
      <c r="N946" s="8">
        <f t="shared" si="29"/>
        <v>1354</v>
      </c>
    </row>
    <row r="947" spans="1:14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7">
        <v>0</v>
      </c>
      <c r="I947" t="s">
        <v>16</v>
      </c>
      <c r="J947" t="s">
        <v>17</v>
      </c>
      <c r="K947">
        <v>432</v>
      </c>
      <c r="L947" s="2">
        <v>35432</v>
      </c>
      <c r="M947" s="6">
        <f t="shared" si="28"/>
        <v>911227</v>
      </c>
      <c r="N947" s="8">
        <f t="shared" si="29"/>
        <v>432</v>
      </c>
    </row>
    <row r="948" spans="1:14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7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6">
        <f t="shared" si="28"/>
        <v>416517</v>
      </c>
      <c r="N948" s="8">
        <f t="shared" si="29"/>
        <v>499</v>
      </c>
    </row>
    <row r="949" spans="1:14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7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6">
        <f t="shared" si="28"/>
        <v>265998</v>
      </c>
      <c r="N949" s="8">
        <f t="shared" si="29"/>
        <v>46</v>
      </c>
    </row>
    <row r="950" spans="1:14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7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6">
        <f t="shared" si="28"/>
        <v>1198659</v>
      </c>
      <c r="N950" s="8">
        <f t="shared" si="29"/>
        <v>470</v>
      </c>
    </row>
    <row r="951" spans="1:14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7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6">
        <f t="shared" si="28"/>
        <v>289873</v>
      </c>
      <c r="N951" s="8">
        <f t="shared" si="29"/>
        <v>691</v>
      </c>
    </row>
    <row r="952" spans="1:14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7">
        <v>0</v>
      </c>
      <c r="I952" t="s">
        <v>16</v>
      </c>
      <c r="J952" t="s">
        <v>17</v>
      </c>
      <c r="K952">
        <v>408</v>
      </c>
      <c r="L952" s="2">
        <v>35408</v>
      </c>
      <c r="M952" s="6">
        <f t="shared" si="28"/>
        <v>289424</v>
      </c>
      <c r="N952" s="8">
        <f t="shared" si="29"/>
        <v>408</v>
      </c>
    </row>
    <row r="953" spans="1:14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7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6">
        <f t="shared" si="28"/>
        <v>350045</v>
      </c>
      <c r="N953" s="8">
        <f t="shared" si="29"/>
        <v>82</v>
      </c>
    </row>
    <row r="954" spans="1:14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7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6">
        <f t="shared" si="28"/>
        <v>262181</v>
      </c>
      <c r="N954" s="8">
        <f t="shared" si="29"/>
        <v>358</v>
      </c>
    </row>
    <row r="955" spans="1:14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7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6">
        <f t="shared" si="28"/>
        <v>1022181</v>
      </c>
      <c r="N955" s="8">
        <f t="shared" si="29"/>
        <v>643</v>
      </c>
    </row>
    <row r="956" spans="1:14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7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6">
        <f t="shared" si="28"/>
        <v>257827</v>
      </c>
      <c r="N956" s="8">
        <f t="shared" si="29"/>
        <v>420</v>
      </c>
    </row>
    <row r="957" spans="1:14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7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6">
        <f t="shared" si="28"/>
        <v>624260</v>
      </c>
      <c r="N957" s="8">
        <f t="shared" si="29"/>
        <v>137</v>
      </c>
    </row>
    <row r="958" spans="1:14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7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6">
        <f t="shared" si="28"/>
        <v>522028</v>
      </c>
      <c r="N958" s="8">
        <f t="shared" si="29"/>
        <v>331</v>
      </c>
    </row>
    <row r="959" spans="1:14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7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6">
        <f t="shared" si="28"/>
        <v>313643</v>
      </c>
      <c r="N959" s="8">
        <f t="shared" si="29"/>
        <v>220</v>
      </c>
    </row>
    <row r="960" spans="1:14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7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6">
        <f t="shared" si="28"/>
        <v>452537</v>
      </c>
      <c r="N960" s="8">
        <f t="shared" si="29"/>
        <v>171</v>
      </c>
    </row>
    <row r="961" spans="1:14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7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6">
        <f t="shared" si="28"/>
        <v>497036</v>
      </c>
      <c r="N961" s="8">
        <f t="shared" si="29"/>
        <v>266</v>
      </c>
    </row>
    <row r="962" spans="1:14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7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6">
        <f t="shared" si="28"/>
        <v>1546779</v>
      </c>
      <c r="N962" s="8">
        <f t="shared" si="29"/>
        <v>99</v>
      </c>
    </row>
    <row r="963" spans="1:14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7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6">
        <f t="shared" ref="M963:M1026" si="30">VALUE(TEXT(E963,"0.00"))</f>
        <v>583890</v>
      </c>
      <c r="N963" s="8">
        <f t="shared" ref="N963:N1026" si="31">VALUE(TEXT(K963,"0.00"))</f>
        <v>281</v>
      </c>
    </row>
    <row r="964" spans="1:14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7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6">
        <f t="shared" si="30"/>
        <v>1065688</v>
      </c>
      <c r="N964" s="8">
        <f t="shared" si="31"/>
        <v>632</v>
      </c>
    </row>
    <row r="965" spans="1:14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7">
        <v>0</v>
      </c>
      <c r="I965" t="s">
        <v>16</v>
      </c>
      <c r="J965" t="s">
        <v>17</v>
      </c>
      <c r="K965">
        <v>468</v>
      </c>
      <c r="L965" s="2">
        <v>35468</v>
      </c>
      <c r="M965" s="6">
        <f t="shared" si="30"/>
        <v>228962</v>
      </c>
      <c r="N965" s="8">
        <f t="shared" si="31"/>
        <v>468</v>
      </c>
    </row>
    <row r="966" spans="1:14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7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6">
        <f t="shared" si="30"/>
        <v>543980</v>
      </c>
      <c r="N966" s="8">
        <f t="shared" si="31"/>
        <v>29</v>
      </c>
    </row>
    <row r="967" spans="1:14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7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6">
        <f t="shared" si="30"/>
        <v>795615</v>
      </c>
      <c r="N967" s="8">
        <f t="shared" si="31"/>
        <v>137</v>
      </c>
    </row>
    <row r="968" spans="1:14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7">
        <v>36526</v>
      </c>
      <c r="I968" t="s">
        <v>16</v>
      </c>
      <c r="J968" t="s">
        <v>17</v>
      </c>
      <c r="K968">
        <v>312</v>
      </c>
      <c r="L968" s="2">
        <v>35312</v>
      </c>
      <c r="M968" s="6">
        <f t="shared" si="30"/>
        <v>445811</v>
      </c>
      <c r="N968" s="8">
        <f t="shared" si="31"/>
        <v>312</v>
      </c>
    </row>
    <row r="969" spans="1:14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7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6">
        <f t="shared" si="30"/>
        <v>255505</v>
      </c>
      <c r="N969" s="8">
        <f t="shared" si="31"/>
        <v>518</v>
      </c>
    </row>
    <row r="970" spans="1:14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7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6">
        <f t="shared" si="30"/>
        <v>330800</v>
      </c>
      <c r="N970" s="8">
        <f t="shared" si="31"/>
        <v>32</v>
      </c>
    </row>
    <row r="971" spans="1:14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7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6">
        <f t="shared" si="30"/>
        <v>845905</v>
      </c>
      <c r="N971" s="8">
        <f t="shared" si="31"/>
        <v>224</v>
      </c>
    </row>
    <row r="972" spans="1:14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7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6">
        <f t="shared" si="30"/>
        <v>1335012</v>
      </c>
      <c r="N972" s="8">
        <f t="shared" si="31"/>
        <v>830</v>
      </c>
    </row>
    <row r="973" spans="1:14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7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6">
        <f t="shared" si="30"/>
        <v>493122</v>
      </c>
      <c r="N973" s="8">
        <f t="shared" si="31"/>
        <v>480</v>
      </c>
    </row>
    <row r="974" spans="1:14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7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6">
        <f t="shared" si="30"/>
        <v>777684</v>
      </c>
      <c r="N974" s="8">
        <f t="shared" si="31"/>
        <v>391</v>
      </c>
    </row>
    <row r="975" spans="1:14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7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6">
        <f t="shared" si="30"/>
        <v>255367</v>
      </c>
      <c r="N975" s="8">
        <f t="shared" si="31"/>
        <v>72</v>
      </c>
    </row>
    <row r="976" spans="1:14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7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6">
        <f t="shared" si="30"/>
        <v>487647</v>
      </c>
      <c r="N976" s="8">
        <f t="shared" si="31"/>
        <v>317</v>
      </c>
    </row>
    <row r="977" spans="1:14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7">
        <v>0</v>
      </c>
      <c r="I977" t="s">
        <v>16</v>
      </c>
      <c r="J977" t="s">
        <v>29</v>
      </c>
      <c r="K977">
        <v>552</v>
      </c>
      <c r="L977" s="2">
        <v>35552</v>
      </c>
      <c r="M977" s="6">
        <f t="shared" si="30"/>
        <v>903431</v>
      </c>
      <c r="N977" s="8">
        <f t="shared" si="31"/>
        <v>552</v>
      </c>
    </row>
    <row r="978" spans="1:14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7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6">
        <f t="shared" si="30"/>
        <v>810591</v>
      </c>
      <c r="N978" s="8">
        <f t="shared" si="31"/>
        <v>42</v>
      </c>
    </row>
    <row r="979" spans="1:14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7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6">
        <f t="shared" si="30"/>
        <v>561969</v>
      </c>
      <c r="N979" s="8">
        <f t="shared" si="31"/>
        <v>1027</v>
      </c>
    </row>
    <row r="980" spans="1:14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7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6">
        <f t="shared" si="30"/>
        <v>1572713</v>
      </c>
      <c r="N980" s="8">
        <f t="shared" si="31"/>
        <v>320</v>
      </c>
    </row>
    <row r="981" spans="1:14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7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6">
        <f t="shared" si="30"/>
        <v>661802</v>
      </c>
      <c r="N981" s="8">
        <f t="shared" si="31"/>
        <v>411</v>
      </c>
    </row>
    <row r="982" spans="1:14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7">
        <v>0</v>
      </c>
      <c r="I982" t="s">
        <v>28</v>
      </c>
      <c r="J982" t="s">
        <v>29</v>
      </c>
      <c r="K982">
        <v>600</v>
      </c>
      <c r="L982" s="2">
        <v>35600</v>
      </c>
      <c r="M982" s="6">
        <f t="shared" si="30"/>
        <v>467005</v>
      </c>
      <c r="N982" s="8">
        <f t="shared" si="31"/>
        <v>600</v>
      </c>
    </row>
    <row r="983" spans="1:14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7">
        <v>0</v>
      </c>
      <c r="I983" t="s">
        <v>16</v>
      </c>
      <c r="J983" t="s">
        <v>78</v>
      </c>
      <c r="K983">
        <v>648</v>
      </c>
      <c r="L983" s="2">
        <v>35648</v>
      </c>
      <c r="M983" s="6">
        <f t="shared" si="30"/>
        <v>1016937</v>
      </c>
      <c r="N983" s="8">
        <f t="shared" si="31"/>
        <v>648</v>
      </c>
    </row>
    <row r="984" spans="1:14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7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6">
        <f t="shared" si="30"/>
        <v>832307</v>
      </c>
      <c r="N984" s="8">
        <f t="shared" si="31"/>
        <v>4</v>
      </c>
    </row>
    <row r="985" spans="1:14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7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6">
        <f t="shared" si="30"/>
        <v>241776</v>
      </c>
      <c r="N985" s="8">
        <f t="shared" si="31"/>
        <v>351</v>
      </c>
    </row>
    <row r="986" spans="1:14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7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6">
        <f t="shared" si="30"/>
        <v>804487</v>
      </c>
      <c r="N986" s="8">
        <f t="shared" si="31"/>
        <v>284</v>
      </c>
    </row>
    <row r="987" spans="1:14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7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6">
        <f t="shared" si="30"/>
        <v>532572</v>
      </c>
      <c r="N987" s="8">
        <f t="shared" si="31"/>
        <v>496</v>
      </c>
    </row>
    <row r="988" spans="1:14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7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6">
        <f t="shared" si="30"/>
        <v>694752</v>
      </c>
      <c r="N988" s="8">
        <f t="shared" si="31"/>
        <v>925</v>
      </c>
    </row>
    <row r="989" spans="1:14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7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6">
        <f t="shared" si="30"/>
        <v>584742</v>
      </c>
      <c r="N989" s="8">
        <f t="shared" si="31"/>
        <v>13</v>
      </c>
    </row>
    <row r="990" spans="1:14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7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6">
        <f t="shared" si="30"/>
        <v>0</v>
      </c>
      <c r="N990" s="8">
        <f t="shared" si="31"/>
        <v>228</v>
      </c>
    </row>
    <row r="991" spans="1:14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7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6">
        <f t="shared" si="30"/>
        <v>472479</v>
      </c>
      <c r="N991" s="8">
        <f t="shared" si="31"/>
        <v>463</v>
      </c>
    </row>
    <row r="992" spans="1:14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7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6">
        <f t="shared" si="30"/>
        <v>279023</v>
      </c>
      <c r="N992" s="8">
        <f t="shared" si="31"/>
        <v>181</v>
      </c>
    </row>
    <row r="993" spans="1:14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7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6">
        <f t="shared" si="30"/>
        <v>2153133</v>
      </c>
      <c r="N993" s="8">
        <f t="shared" si="31"/>
        <v>485</v>
      </c>
    </row>
    <row r="994" spans="1:14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7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6">
        <f t="shared" si="30"/>
        <v>1262283</v>
      </c>
      <c r="N994" s="8">
        <f t="shared" si="31"/>
        <v>509</v>
      </c>
    </row>
    <row r="995" spans="1:14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7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6">
        <f t="shared" si="30"/>
        <v>2017196</v>
      </c>
      <c r="N995" s="8">
        <f t="shared" si="31"/>
        <v>350</v>
      </c>
    </row>
    <row r="996" spans="1:14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7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6">
        <f t="shared" si="30"/>
        <v>1646437</v>
      </c>
      <c r="N996" s="8">
        <f t="shared" si="31"/>
        <v>303</v>
      </c>
    </row>
    <row r="997" spans="1:14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7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6">
        <f t="shared" si="30"/>
        <v>559539</v>
      </c>
      <c r="N997" s="8">
        <f t="shared" si="31"/>
        <v>341</v>
      </c>
    </row>
    <row r="998" spans="1:14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7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6">
        <f t="shared" si="30"/>
        <v>417069</v>
      </c>
      <c r="N998" s="8">
        <f t="shared" si="31"/>
        <v>514</v>
      </c>
    </row>
    <row r="999" spans="1:14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7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6">
        <f t="shared" si="30"/>
        <v>266545</v>
      </c>
      <c r="N999" s="8">
        <f t="shared" si="31"/>
        <v>142</v>
      </c>
    </row>
    <row r="1000" spans="1:14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7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6">
        <f t="shared" si="30"/>
        <v>709891</v>
      </c>
      <c r="N1000" s="8">
        <f t="shared" si="31"/>
        <v>350</v>
      </c>
    </row>
    <row r="1001" spans="1:14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7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6">
        <f t="shared" si="30"/>
        <v>397135</v>
      </c>
      <c r="N1001" s="8">
        <f t="shared" si="31"/>
        <v>494</v>
      </c>
    </row>
    <row r="1002" spans="1:14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7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6">
        <f t="shared" si="30"/>
        <v>552821</v>
      </c>
      <c r="N1002" s="8">
        <f t="shared" si="31"/>
        <v>346</v>
      </c>
    </row>
    <row r="1003" spans="1:14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7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6">
        <f t="shared" si="30"/>
        <v>833900</v>
      </c>
      <c r="N1003" s="8">
        <f t="shared" si="31"/>
        <v>54</v>
      </c>
    </row>
    <row r="1004" spans="1:14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7">
        <v>36526</v>
      </c>
      <c r="I1004" t="s">
        <v>16</v>
      </c>
      <c r="J1004" t="s">
        <v>29</v>
      </c>
      <c r="K1004">
        <v>600</v>
      </c>
      <c r="L1004" s="2">
        <v>35600</v>
      </c>
      <c r="M1004" s="6">
        <f t="shared" si="30"/>
        <v>3844586</v>
      </c>
      <c r="N1004" s="8">
        <f t="shared" si="31"/>
        <v>600</v>
      </c>
    </row>
    <row r="1005" spans="1:14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7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6">
        <f t="shared" si="30"/>
        <v>544856</v>
      </c>
      <c r="N1005" s="8">
        <f t="shared" si="31"/>
        <v>343</v>
      </c>
    </row>
    <row r="1006" spans="1:14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7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6">
        <f t="shared" si="30"/>
        <v>1080807</v>
      </c>
      <c r="N1006" s="8">
        <f t="shared" si="31"/>
        <v>442</v>
      </c>
    </row>
    <row r="1007" spans="1:14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7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6">
        <f t="shared" si="30"/>
        <v>618510</v>
      </c>
      <c r="N1007" s="8">
        <f t="shared" si="31"/>
        <v>1027</v>
      </c>
    </row>
    <row r="1008" spans="1:14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7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6">
        <f t="shared" si="30"/>
        <v>320823</v>
      </c>
      <c r="N1008" s="8">
        <f t="shared" si="31"/>
        <v>276</v>
      </c>
    </row>
    <row r="1009" spans="1:14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7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6">
        <f t="shared" si="30"/>
        <v>548010</v>
      </c>
      <c r="N1009" s="8">
        <f t="shared" si="31"/>
        <v>473</v>
      </c>
    </row>
    <row r="1010" spans="1:14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7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6">
        <f t="shared" si="30"/>
        <v>2298615</v>
      </c>
      <c r="N1010" s="8">
        <f t="shared" si="31"/>
        <v>1337</v>
      </c>
    </row>
    <row r="1011" spans="1:14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7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6">
        <f t="shared" si="30"/>
        <v>1310793</v>
      </c>
      <c r="N1011" s="8">
        <f t="shared" si="31"/>
        <v>547</v>
      </c>
    </row>
    <row r="1012" spans="1:14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7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6">
        <f t="shared" si="30"/>
        <v>746293</v>
      </c>
      <c r="N1012" s="8">
        <f t="shared" si="31"/>
        <v>7</v>
      </c>
    </row>
    <row r="1013" spans="1:14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7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6">
        <f t="shared" si="30"/>
        <v>1146399</v>
      </c>
      <c r="N1013" s="8">
        <f t="shared" si="31"/>
        <v>540</v>
      </c>
    </row>
    <row r="1014" spans="1:14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7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6">
        <f t="shared" si="30"/>
        <v>723613</v>
      </c>
      <c r="N1014" s="8">
        <f t="shared" si="31"/>
        <v>383</v>
      </c>
    </row>
    <row r="1015" spans="1:14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7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6">
        <f t="shared" si="30"/>
        <v>623269</v>
      </c>
      <c r="N1015" s="8">
        <f t="shared" si="31"/>
        <v>538</v>
      </c>
    </row>
    <row r="1016" spans="1:14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7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6">
        <f t="shared" si="30"/>
        <v>2839333</v>
      </c>
      <c r="N1016" s="8">
        <f t="shared" si="31"/>
        <v>322</v>
      </c>
    </row>
    <row r="1017" spans="1:14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7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6">
        <f t="shared" si="30"/>
        <v>374675</v>
      </c>
      <c r="N1017" s="8">
        <f t="shared" si="31"/>
        <v>20</v>
      </c>
    </row>
    <row r="1018" spans="1:14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7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6">
        <f t="shared" si="30"/>
        <v>2156934</v>
      </c>
      <c r="N1018" s="8">
        <f t="shared" si="31"/>
        <v>571</v>
      </c>
    </row>
    <row r="1019" spans="1:14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7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6">
        <f t="shared" si="30"/>
        <v>501208</v>
      </c>
      <c r="N1019" s="8">
        <f t="shared" si="31"/>
        <v>108</v>
      </c>
    </row>
    <row r="1020" spans="1:14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7">
        <v>0</v>
      </c>
      <c r="I1020" t="s">
        <v>28</v>
      </c>
      <c r="J1020" t="s">
        <v>24</v>
      </c>
      <c r="K1020">
        <v>408</v>
      </c>
      <c r="L1020" s="2">
        <v>35408</v>
      </c>
      <c r="M1020" s="6">
        <f t="shared" si="30"/>
        <v>337186</v>
      </c>
      <c r="N1020" s="8">
        <f t="shared" si="31"/>
        <v>408</v>
      </c>
    </row>
    <row r="1021" spans="1:14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7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6">
        <f t="shared" si="30"/>
        <v>386478</v>
      </c>
      <c r="N1021" s="8">
        <f t="shared" si="31"/>
        <v>707</v>
      </c>
    </row>
    <row r="1022" spans="1:14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7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6">
        <f t="shared" si="30"/>
        <v>414571</v>
      </c>
      <c r="N1022" s="8">
        <f t="shared" si="31"/>
        <v>1067</v>
      </c>
    </row>
    <row r="1023" spans="1:14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7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6">
        <f t="shared" si="30"/>
        <v>515607</v>
      </c>
      <c r="N1023" s="8">
        <f t="shared" si="31"/>
        <v>808</v>
      </c>
    </row>
    <row r="1024" spans="1:14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7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6">
        <f t="shared" si="30"/>
        <v>366738</v>
      </c>
      <c r="N1024" s="8">
        <f t="shared" si="31"/>
        <v>619</v>
      </c>
    </row>
    <row r="1025" spans="1:14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7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6">
        <f t="shared" si="30"/>
        <v>783568</v>
      </c>
      <c r="N1025" s="8">
        <f t="shared" si="31"/>
        <v>404</v>
      </c>
    </row>
    <row r="1026" spans="1:14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7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6">
        <f t="shared" si="30"/>
        <v>1456727</v>
      </c>
      <c r="N1026" s="8">
        <f t="shared" si="31"/>
        <v>710</v>
      </c>
    </row>
    <row r="1027" spans="1:14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7">
        <v>0</v>
      </c>
      <c r="I1027" t="s">
        <v>28</v>
      </c>
      <c r="J1027" t="s">
        <v>17</v>
      </c>
      <c r="K1027">
        <v>312</v>
      </c>
      <c r="L1027" s="2">
        <v>35312</v>
      </c>
      <c r="M1027" s="6">
        <f t="shared" ref="M1027:M1072" si="32">VALUE(TEXT(E1027,"0.00"))</f>
        <v>1017134</v>
      </c>
      <c r="N1027" s="8">
        <f t="shared" ref="N1027:N1072" si="33">VALUE(TEXT(K1027,"0.00"))</f>
        <v>312</v>
      </c>
    </row>
    <row r="1028" spans="1:14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7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6">
        <f t="shared" si="32"/>
        <v>413578</v>
      </c>
      <c r="N1028" s="8">
        <f t="shared" si="33"/>
        <v>708</v>
      </c>
    </row>
    <row r="1029" spans="1:14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7">
        <v>0</v>
      </c>
      <c r="I1029" t="s">
        <v>28</v>
      </c>
      <c r="J1029" t="s">
        <v>17</v>
      </c>
      <c r="K1029">
        <v>336</v>
      </c>
      <c r="L1029" s="2">
        <v>35336</v>
      </c>
      <c r="M1029" s="6">
        <f t="shared" si="32"/>
        <v>551149</v>
      </c>
      <c r="N1029" s="8">
        <f t="shared" si="33"/>
        <v>336</v>
      </c>
    </row>
    <row r="1030" spans="1:14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7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6">
        <f t="shared" si="32"/>
        <v>1131424</v>
      </c>
      <c r="N1030" s="8">
        <f t="shared" si="33"/>
        <v>232</v>
      </c>
    </row>
    <row r="1031" spans="1:14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7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6">
        <f t="shared" si="32"/>
        <v>541462</v>
      </c>
      <c r="N1031" s="8">
        <f t="shared" si="33"/>
        <v>68</v>
      </c>
    </row>
    <row r="1032" spans="1:14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7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6">
        <f t="shared" si="32"/>
        <v>742159</v>
      </c>
      <c r="N1032" s="8">
        <f t="shared" si="33"/>
        <v>287</v>
      </c>
    </row>
    <row r="1033" spans="1:14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7">
        <v>36526</v>
      </c>
      <c r="I1033" t="s">
        <v>16</v>
      </c>
      <c r="J1033" t="s">
        <v>17</v>
      </c>
      <c r="K1033">
        <v>312</v>
      </c>
      <c r="L1033" s="2">
        <v>35312</v>
      </c>
      <c r="M1033" s="6">
        <f t="shared" si="32"/>
        <v>445811</v>
      </c>
      <c r="N1033" s="8">
        <f t="shared" si="33"/>
        <v>312</v>
      </c>
    </row>
    <row r="1034" spans="1:14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7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6">
        <f t="shared" si="32"/>
        <v>1447612</v>
      </c>
      <c r="N1034" s="8">
        <f t="shared" si="33"/>
        <v>595</v>
      </c>
    </row>
    <row r="1035" spans="1:14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7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6">
        <f t="shared" si="32"/>
        <v>493689</v>
      </c>
      <c r="N1035" s="8">
        <f t="shared" si="33"/>
        <v>392</v>
      </c>
    </row>
    <row r="1036" spans="1:14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7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6">
        <f t="shared" si="32"/>
        <v>452528</v>
      </c>
      <c r="N1036" s="8">
        <f t="shared" si="33"/>
        <v>547</v>
      </c>
    </row>
    <row r="1037" spans="1:14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7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6">
        <f t="shared" si="32"/>
        <v>558176</v>
      </c>
      <c r="N1037" s="8">
        <f t="shared" si="33"/>
        <v>239</v>
      </c>
    </row>
    <row r="1038" spans="1:14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7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6">
        <f t="shared" si="32"/>
        <v>1413435</v>
      </c>
      <c r="N1038" s="8">
        <f t="shared" si="33"/>
        <v>233</v>
      </c>
    </row>
    <row r="1039" spans="1:14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7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6">
        <f t="shared" si="32"/>
        <v>2472318</v>
      </c>
      <c r="N1039" s="8">
        <f t="shared" si="33"/>
        <v>331</v>
      </c>
    </row>
    <row r="1040" spans="1:14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7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6">
        <f t="shared" si="32"/>
        <v>283807</v>
      </c>
      <c r="N1040" s="8">
        <f t="shared" si="33"/>
        <v>337</v>
      </c>
    </row>
    <row r="1041" spans="1:14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7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6">
        <f t="shared" si="32"/>
        <v>384848</v>
      </c>
      <c r="N1041" s="8">
        <f t="shared" si="33"/>
        <v>470</v>
      </c>
    </row>
    <row r="1042" spans="1:14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7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6">
        <f t="shared" si="32"/>
        <v>1950447</v>
      </c>
      <c r="N1042" s="8">
        <f t="shared" si="33"/>
        <v>346</v>
      </c>
    </row>
    <row r="1043" spans="1:14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7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6">
        <f t="shared" si="32"/>
        <v>248005</v>
      </c>
      <c r="N1043" s="8">
        <f t="shared" si="33"/>
        <v>244</v>
      </c>
    </row>
    <row r="1044" spans="1:14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7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6">
        <f t="shared" si="32"/>
        <v>436137</v>
      </c>
      <c r="N1044" s="8">
        <f t="shared" si="33"/>
        <v>523</v>
      </c>
    </row>
    <row r="1045" spans="1:14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7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6">
        <f t="shared" si="32"/>
        <v>252908</v>
      </c>
      <c r="N1045" s="8">
        <f t="shared" si="33"/>
        <v>329</v>
      </c>
    </row>
    <row r="1046" spans="1:14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7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6">
        <f t="shared" si="32"/>
        <v>250444</v>
      </c>
      <c r="N1046" s="8">
        <f t="shared" si="33"/>
        <v>497</v>
      </c>
    </row>
    <row r="1047" spans="1:14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7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6">
        <f t="shared" si="32"/>
        <v>864970</v>
      </c>
      <c r="N1047" s="8">
        <f t="shared" si="33"/>
        <v>85</v>
      </c>
    </row>
    <row r="1048" spans="1:14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7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6">
        <f t="shared" si="32"/>
        <v>1366836</v>
      </c>
      <c r="N1048" s="8">
        <f t="shared" si="33"/>
        <v>1418</v>
      </c>
    </row>
    <row r="1049" spans="1:14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7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6">
        <f t="shared" si="32"/>
        <v>2063508</v>
      </c>
      <c r="N1049" s="8">
        <f t="shared" si="33"/>
        <v>334</v>
      </c>
    </row>
    <row r="1050" spans="1:14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7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6">
        <f t="shared" si="32"/>
        <v>251753</v>
      </c>
      <c r="N1050" s="8">
        <f t="shared" si="33"/>
        <v>42</v>
      </c>
    </row>
    <row r="1051" spans="1:14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7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6">
        <f t="shared" si="32"/>
        <v>532668</v>
      </c>
      <c r="N1051" s="8">
        <f t="shared" si="33"/>
        <v>301</v>
      </c>
    </row>
    <row r="1052" spans="1:14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7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6">
        <f t="shared" si="32"/>
        <v>260027</v>
      </c>
      <c r="N1052" s="8">
        <f t="shared" si="33"/>
        <v>145</v>
      </c>
    </row>
    <row r="1053" spans="1:14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7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6">
        <f t="shared" si="32"/>
        <v>853479</v>
      </c>
      <c r="N1053" s="8">
        <f t="shared" si="33"/>
        <v>65</v>
      </c>
    </row>
    <row r="1054" spans="1:14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7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6">
        <f t="shared" si="32"/>
        <v>882884</v>
      </c>
      <c r="N1054" s="8">
        <f t="shared" si="33"/>
        <v>533</v>
      </c>
    </row>
    <row r="1055" spans="1:14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7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6">
        <f t="shared" si="32"/>
        <v>224845</v>
      </c>
      <c r="N1055" s="8">
        <f t="shared" si="33"/>
        <v>348</v>
      </c>
    </row>
    <row r="1056" spans="1:14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7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6">
        <f t="shared" si="32"/>
        <v>1230276</v>
      </c>
      <c r="N1056" s="8">
        <f t="shared" si="33"/>
        <v>245</v>
      </c>
    </row>
    <row r="1057" spans="1:14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7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6">
        <f t="shared" si="32"/>
        <v>455659</v>
      </c>
      <c r="N1057" s="8">
        <f t="shared" si="33"/>
        <v>526</v>
      </c>
    </row>
    <row r="1058" spans="1:14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7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6">
        <f t="shared" si="32"/>
        <v>253071</v>
      </c>
      <c r="N1058" s="8">
        <f t="shared" si="33"/>
        <v>62</v>
      </c>
    </row>
    <row r="1059" spans="1:14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7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6">
        <f t="shared" si="32"/>
        <v>525198</v>
      </c>
      <c r="N1059" s="8">
        <f t="shared" si="33"/>
        <v>317</v>
      </c>
    </row>
    <row r="1060" spans="1:14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7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6">
        <f t="shared" si="32"/>
        <v>674312</v>
      </c>
      <c r="N1060" s="8">
        <f t="shared" si="33"/>
        <v>955</v>
      </c>
    </row>
    <row r="1061" spans="1:14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7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6">
        <f t="shared" si="32"/>
        <v>1401472</v>
      </c>
      <c r="N1061" s="8">
        <f t="shared" si="33"/>
        <v>721</v>
      </c>
    </row>
    <row r="1062" spans="1:14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7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6">
        <f t="shared" si="32"/>
        <v>943892</v>
      </c>
      <c r="N1062" s="8">
        <f t="shared" si="33"/>
        <v>341</v>
      </c>
    </row>
    <row r="1063" spans="1:14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7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6">
        <f t="shared" si="32"/>
        <v>1050677</v>
      </c>
      <c r="N1063" s="8">
        <f t="shared" si="33"/>
        <v>547</v>
      </c>
    </row>
    <row r="1064" spans="1:14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7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6">
        <f t="shared" si="32"/>
        <v>421392</v>
      </c>
      <c r="N1064" s="8">
        <f t="shared" si="33"/>
        <v>489</v>
      </c>
    </row>
    <row r="1065" spans="1:14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7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6">
        <f t="shared" si="32"/>
        <v>477369</v>
      </c>
      <c r="N1065" s="8">
        <f t="shared" si="33"/>
        <v>171</v>
      </c>
    </row>
    <row r="1066" spans="1:14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7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6">
        <f t="shared" si="32"/>
        <v>544142</v>
      </c>
      <c r="N1066" s="8">
        <f t="shared" si="33"/>
        <v>249</v>
      </c>
    </row>
    <row r="1067" spans="1:14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7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6">
        <f t="shared" si="32"/>
        <v>284227</v>
      </c>
      <c r="N1067" s="8">
        <f t="shared" si="33"/>
        <v>31</v>
      </c>
    </row>
    <row r="1068" spans="1:14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7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6">
        <f t="shared" si="32"/>
        <v>305955</v>
      </c>
      <c r="N1068" s="8">
        <f t="shared" si="33"/>
        <v>361</v>
      </c>
    </row>
    <row r="1069" spans="1:14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7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6">
        <f t="shared" si="32"/>
        <v>2031500</v>
      </c>
      <c r="N1069" s="8">
        <f t="shared" si="33"/>
        <v>207</v>
      </c>
    </row>
    <row r="1070" spans="1:14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7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6">
        <f t="shared" si="32"/>
        <v>323912</v>
      </c>
      <c r="N1070" s="8">
        <f t="shared" si="33"/>
        <v>634</v>
      </c>
    </row>
    <row r="1071" spans="1:14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7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6">
        <f t="shared" si="32"/>
        <v>462680</v>
      </c>
      <c r="N1071" s="8">
        <f t="shared" si="33"/>
        <v>547</v>
      </c>
    </row>
    <row r="1072" spans="1:14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7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6">
        <f t="shared" si="32"/>
        <v>899704</v>
      </c>
      <c r="N1072" s="8">
        <f t="shared" si="33"/>
        <v>538</v>
      </c>
    </row>
  </sheetData>
  <autoFilter ref="A1:N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B1" zoomScale="80" zoomScaleNormal="80" workbookViewId="0">
      <selection sqref="A1:M1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5.54296875" bestFit="1" customWidth="1"/>
  </cols>
  <sheetData>
    <row r="1" spans="1:13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3" t="s">
        <v>9194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 t="str">
        <f>LEFT(I2,FIND(" ",I2)-1)</f>
        <v>Personal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 t="str">
        <f t="shared" ref="M3:M66" si="0">LEFT(I3,FIND(" ",I3)-1)</f>
        <v>Personal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 t="str">
        <f t="shared" si="0"/>
        <v>Personal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 t="str">
        <f t="shared" si="0"/>
        <v>Corporate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 t="str">
        <f t="shared" si="0"/>
        <v>Personal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 t="str">
        <f t="shared" si="0"/>
        <v>Personal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 t="str">
        <f t="shared" si="0"/>
        <v>Corporate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 t="str">
        <f t="shared" si="0"/>
        <v>Corporate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 t="str">
        <f t="shared" si="0"/>
        <v>Corporate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 t="str">
        <f t="shared" si="0"/>
        <v>Special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 t="str">
        <f t="shared" si="0"/>
        <v>Personal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 t="str">
        <f t="shared" si="0"/>
        <v>Personal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 t="str">
        <f t="shared" si="0"/>
        <v>Corporate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 t="str">
        <f t="shared" si="0"/>
        <v>Corporate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 t="str">
        <f t="shared" si="0"/>
        <v>Corporate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 t="str">
        <f t="shared" si="0"/>
        <v>Corporate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 t="str">
        <f t="shared" si="0"/>
        <v>Personal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 t="str">
        <f t="shared" si="0"/>
        <v>Personal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 t="str">
        <f t="shared" si="0"/>
        <v>Personal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 t="str">
        <f t="shared" si="0"/>
        <v>Corporate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 t="str">
        <f t="shared" si="0"/>
        <v>Personal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 t="str">
        <f t="shared" si="0"/>
        <v>Personal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 t="str">
        <f t="shared" si="0"/>
        <v>Personal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 t="str">
        <f t="shared" si="0"/>
        <v>Corporate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 t="str">
        <f t="shared" si="0"/>
        <v>Corporate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 t="str">
        <f t="shared" si="0"/>
        <v>Personal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 t="str">
        <f t="shared" si="0"/>
        <v>Personal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 t="str">
        <f t="shared" si="0"/>
        <v>Personal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 t="str">
        <f t="shared" si="0"/>
        <v>Personal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 t="str">
        <f t="shared" si="0"/>
        <v>Personal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 t="str">
        <f t="shared" si="0"/>
        <v>Personal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 t="str">
        <f t="shared" si="0"/>
        <v>Corporate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 t="str">
        <f t="shared" si="0"/>
        <v>Personal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 t="str">
        <f t="shared" si="0"/>
        <v>Personal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 t="str">
        <f t="shared" si="0"/>
        <v>Corporate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 t="str">
        <f t="shared" si="0"/>
        <v>Personal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 t="str">
        <f t="shared" si="0"/>
        <v>Personal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 t="str">
        <f t="shared" si="0"/>
        <v>Personal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 t="str">
        <f t="shared" si="0"/>
        <v>Personal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 t="str">
        <f t="shared" si="0"/>
        <v>Personal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 t="str">
        <f t="shared" si="0"/>
        <v>Corporate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 t="str">
        <f t="shared" si="0"/>
        <v>Corporate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 t="str">
        <f t="shared" si="0"/>
        <v>Personal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 t="str">
        <f t="shared" si="0"/>
        <v>Personal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 t="str">
        <f t="shared" si="0"/>
        <v>Personal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 t="str">
        <f t="shared" si="0"/>
        <v>Personal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 t="str">
        <f t="shared" si="0"/>
        <v>Personal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 t="str">
        <f t="shared" si="0"/>
        <v>Personal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 t="str">
        <f t="shared" si="0"/>
        <v>Corporate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 t="str">
        <f t="shared" si="0"/>
        <v>Personal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 t="str">
        <f t="shared" si="0"/>
        <v>Personal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 t="str">
        <f t="shared" si="0"/>
        <v>Corporate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 t="str">
        <f t="shared" si="0"/>
        <v>Special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 t="str">
        <f t="shared" si="0"/>
        <v>Personal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 t="str">
        <f t="shared" si="0"/>
        <v>Personal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 t="str">
        <f t="shared" si="0"/>
        <v>Corporate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 t="str">
        <f t="shared" si="0"/>
        <v>Special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 t="str">
        <f t="shared" si="0"/>
        <v>Personal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 t="str">
        <f t="shared" si="0"/>
        <v>Personal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 t="str">
        <f t="shared" si="0"/>
        <v>Personal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 t="str">
        <f t="shared" si="0"/>
        <v>Personal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 t="str">
        <f t="shared" si="0"/>
        <v>Personal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 t="str">
        <f t="shared" si="0"/>
        <v>Personal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 t="str">
        <f t="shared" si="0"/>
        <v>Personal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 t="str">
        <f t="shared" si="0"/>
        <v>Personal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 t="str">
        <f t="shared" ref="M67:M130" si="1">LEFT(I67,FIND(" ",I67)-1)</f>
        <v>Personal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 t="str">
        <f t="shared" si="1"/>
        <v>Corporate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 t="str">
        <f t="shared" si="1"/>
        <v>Personal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 t="str">
        <f t="shared" si="1"/>
        <v>Personal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 t="str">
        <f t="shared" si="1"/>
        <v>Personal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 t="str">
        <f t="shared" si="1"/>
        <v>Personal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 t="str">
        <f t="shared" si="1"/>
        <v>Personal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 t="str">
        <f t="shared" si="1"/>
        <v>Personal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 t="str">
        <f t="shared" si="1"/>
        <v>Personal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 t="str">
        <f t="shared" si="1"/>
        <v>Personal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 t="str">
        <f t="shared" si="1"/>
        <v>Personal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 t="str">
        <f t="shared" si="1"/>
        <v>Personal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 t="str">
        <f t="shared" si="1"/>
        <v>Personal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 t="str">
        <f t="shared" si="1"/>
        <v>Personal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 t="str">
        <f t="shared" si="1"/>
        <v>Personal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 t="str">
        <f t="shared" si="1"/>
        <v>Personal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 t="str">
        <f t="shared" si="1"/>
        <v>Personal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 t="str">
        <f t="shared" si="1"/>
        <v>Personal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 t="str">
        <f t="shared" si="1"/>
        <v>Personal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 t="str">
        <f t="shared" si="1"/>
        <v>Personal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 t="str">
        <f t="shared" si="1"/>
        <v>Corporate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 t="str">
        <f t="shared" si="1"/>
        <v>Personal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 t="str">
        <f t="shared" si="1"/>
        <v>Corporate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 t="str">
        <f t="shared" si="1"/>
        <v>Personal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 t="str">
        <f t="shared" si="1"/>
        <v>Personal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 t="str">
        <f t="shared" si="1"/>
        <v>Personal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 t="str">
        <f t="shared" si="1"/>
        <v>Personal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 t="str">
        <f t="shared" si="1"/>
        <v>Corporate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 t="str">
        <f t="shared" si="1"/>
        <v>Corporate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 t="str">
        <f t="shared" si="1"/>
        <v>Personal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 t="str">
        <f t="shared" si="1"/>
        <v>Personal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 t="str">
        <f t="shared" si="1"/>
        <v>Personal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 t="str">
        <f t="shared" si="1"/>
        <v>Personal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 t="str">
        <f t="shared" si="1"/>
        <v>Personal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 t="str">
        <f t="shared" si="1"/>
        <v>Personal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 t="str">
        <f t="shared" si="1"/>
        <v>Personal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 t="str">
        <f t="shared" si="1"/>
        <v>Personal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 t="str">
        <f t="shared" si="1"/>
        <v>Corporate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 t="str">
        <f t="shared" si="1"/>
        <v>Personal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 t="str">
        <f t="shared" si="1"/>
        <v>Personal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 t="str">
        <f t="shared" si="1"/>
        <v>Personal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 t="str">
        <f t="shared" si="1"/>
        <v>Personal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 t="str">
        <f t="shared" si="1"/>
        <v>Personal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 t="str">
        <f t="shared" si="1"/>
        <v>Personal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 t="str">
        <f t="shared" si="1"/>
        <v>Corporate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 t="str">
        <f t="shared" si="1"/>
        <v>Personal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 t="str">
        <f t="shared" si="1"/>
        <v>Personal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 t="str">
        <f t="shared" si="1"/>
        <v>Personal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 t="str">
        <f t="shared" si="1"/>
        <v>Personal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 t="str">
        <f t="shared" si="1"/>
        <v>Personal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 t="str">
        <f t="shared" si="1"/>
        <v>Corporate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 t="str">
        <f t="shared" si="1"/>
        <v>Personal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 t="str">
        <f t="shared" si="1"/>
        <v>Personal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 t="str">
        <f t="shared" si="1"/>
        <v>Personal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 t="str">
        <f t="shared" si="1"/>
        <v>Corporate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 t="str">
        <f t="shared" si="1"/>
        <v>Personal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 t="str">
        <f t="shared" si="1"/>
        <v>Personal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 t="str">
        <f t="shared" si="1"/>
        <v>Personal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 t="str">
        <f t="shared" si="1"/>
        <v>Personal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 t="str">
        <f t="shared" si="1"/>
        <v>Personal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 t="str">
        <f t="shared" si="1"/>
        <v>Personal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 t="str">
        <f t="shared" si="1"/>
        <v>Personal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 t="str">
        <f t="shared" si="1"/>
        <v>Special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 t="str">
        <f t="shared" si="1"/>
        <v>Personal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 t="str">
        <f t="shared" ref="M131:M194" si="2">LEFT(I131,FIND(" ",I131)-1)</f>
        <v>Personal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 t="str">
        <f t="shared" si="2"/>
        <v>Personal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 t="str">
        <f t="shared" si="2"/>
        <v>Special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 t="str">
        <f t="shared" si="2"/>
        <v>Personal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 t="str">
        <f t="shared" si="2"/>
        <v>Personal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 t="str">
        <f t="shared" si="2"/>
        <v>Corporate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 t="str">
        <f t="shared" si="2"/>
        <v>Personal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 t="str">
        <f t="shared" si="2"/>
        <v>Special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 t="str">
        <f t="shared" si="2"/>
        <v>Personal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 t="str">
        <f t="shared" si="2"/>
        <v>Personal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 t="str">
        <f t="shared" si="2"/>
        <v>Special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 t="str">
        <f t="shared" si="2"/>
        <v>Personal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 t="str">
        <f t="shared" si="2"/>
        <v>Personal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 t="str">
        <f t="shared" si="2"/>
        <v>Personal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 t="str">
        <f t="shared" si="2"/>
        <v>Personal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 t="str">
        <f t="shared" si="2"/>
        <v>Personal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 t="str">
        <f t="shared" si="2"/>
        <v>Corporate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 t="str">
        <f t="shared" si="2"/>
        <v>Corporate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 t="str">
        <f t="shared" si="2"/>
        <v>Corporate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 t="str">
        <f t="shared" si="2"/>
        <v>Personal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 t="str">
        <f t="shared" si="2"/>
        <v>Corporate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 t="str">
        <f t="shared" si="2"/>
        <v>Personal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 t="str">
        <f t="shared" si="2"/>
        <v>Personal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 t="str">
        <f t="shared" si="2"/>
        <v>Personal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 t="str">
        <f t="shared" si="2"/>
        <v>Personal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 t="str">
        <f t="shared" si="2"/>
        <v>Personal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 t="str">
        <f t="shared" si="2"/>
        <v>Personal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 t="str">
        <f t="shared" si="2"/>
        <v>Personal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 t="str">
        <f t="shared" si="2"/>
        <v>Personal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 t="str">
        <f t="shared" si="2"/>
        <v>Personal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 t="str">
        <f t="shared" si="2"/>
        <v>Personal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 t="str">
        <f t="shared" si="2"/>
        <v>Corporate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 t="str">
        <f t="shared" si="2"/>
        <v>Personal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 t="str">
        <f t="shared" si="2"/>
        <v>Personal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 t="str">
        <f t="shared" si="2"/>
        <v>Personal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 t="str">
        <f t="shared" si="2"/>
        <v>Personal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 t="str">
        <f t="shared" si="2"/>
        <v>Personal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 t="str">
        <f t="shared" si="2"/>
        <v>Personal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 t="str">
        <f t="shared" si="2"/>
        <v>Personal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 t="str">
        <f t="shared" si="2"/>
        <v>Personal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 t="str">
        <f t="shared" si="2"/>
        <v>Personal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 t="str">
        <f t="shared" si="2"/>
        <v>Personal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 t="str">
        <f t="shared" si="2"/>
        <v>Personal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 t="str">
        <f t="shared" si="2"/>
        <v>Personal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 t="str">
        <f t="shared" si="2"/>
        <v>Personal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 t="str">
        <f t="shared" si="2"/>
        <v>Personal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 t="str">
        <f t="shared" si="2"/>
        <v>Personal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 t="str">
        <f t="shared" si="2"/>
        <v>Personal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 t="str">
        <f t="shared" si="2"/>
        <v>Personal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 t="str">
        <f t="shared" si="2"/>
        <v>Personal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 t="str">
        <f t="shared" si="2"/>
        <v>Personal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 t="str">
        <f t="shared" si="2"/>
        <v>Personal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 t="str">
        <f t="shared" si="2"/>
        <v>Personal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 t="str">
        <f t="shared" si="2"/>
        <v>Personal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 t="str">
        <f t="shared" si="2"/>
        <v>Personal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 t="str">
        <f t="shared" si="2"/>
        <v>Personal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 t="str">
        <f t="shared" si="2"/>
        <v>Personal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 t="str">
        <f t="shared" si="2"/>
        <v>Corporate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 t="str">
        <f t="shared" si="2"/>
        <v>Personal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 t="str">
        <f t="shared" si="2"/>
        <v>Personal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 t="str">
        <f t="shared" si="2"/>
        <v>Personal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 t="str">
        <f t="shared" si="2"/>
        <v>Special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 t="str">
        <f t="shared" si="2"/>
        <v>Special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 t="str">
        <f t="shared" si="2"/>
        <v>Personal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 t="str">
        <f t="shared" ref="M195:M258" si="3">LEFT(I195,FIND(" ",I195)-1)</f>
        <v>Personal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 t="str">
        <f t="shared" si="3"/>
        <v>Personal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 t="str">
        <f t="shared" si="3"/>
        <v>Personal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 t="str">
        <f t="shared" si="3"/>
        <v>Corporate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 t="str">
        <f t="shared" si="3"/>
        <v>Special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 t="str">
        <f t="shared" si="3"/>
        <v>Personal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 t="str">
        <f t="shared" si="3"/>
        <v>Personal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 t="str">
        <f t="shared" si="3"/>
        <v>Personal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 t="str">
        <f t="shared" si="3"/>
        <v>Personal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 t="str">
        <f t="shared" si="3"/>
        <v>Corporate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 t="str">
        <f t="shared" si="3"/>
        <v>Personal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 t="str">
        <f t="shared" si="3"/>
        <v>Personal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 t="str">
        <f t="shared" si="3"/>
        <v>Personal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 t="str">
        <f t="shared" si="3"/>
        <v>Personal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 t="str">
        <f t="shared" si="3"/>
        <v>Corporate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 t="str">
        <f t="shared" si="3"/>
        <v>Corporate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 t="str">
        <f t="shared" si="3"/>
        <v>Personal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 t="str">
        <f t="shared" si="3"/>
        <v>Personal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 t="str">
        <f t="shared" si="3"/>
        <v>Special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 t="str">
        <f t="shared" si="3"/>
        <v>Corporate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 t="str">
        <f t="shared" si="3"/>
        <v>Special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 t="str">
        <f t="shared" si="3"/>
        <v>Personal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 t="str">
        <f t="shared" si="3"/>
        <v>Corporate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 t="str">
        <f t="shared" si="3"/>
        <v>Corporate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 t="str">
        <f t="shared" si="3"/>
        <v>Special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 t="str">
        <f t="shared" si="3"/>
        <v>Personal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 t="str">
        <f t="shared" si="3"/>
        <v>Personal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 t="str">
        <f t="shared" si="3"/>
        <v>Personal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 t="str">
        <f t="shared" si="3"/>
        <v>Personal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 t="str">
        <f t="shared" si="3"/>
        <v>Personal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 t="str">
        <f t="shared" si="3"/>
        <v>Personal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 t="str">
        <f t="shared" si="3"/>
        <v>Personal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 t="str">
        <f t="shared" si="3"/>
        <v>Personal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 t="str">
        <f t="shared" si="3"/>
        <v>Personal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 t="str">
        <f t="shared" si="3"/>
        <v>Corporate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 t="str">
        <f t="shared" si="3"/>
        <v>Corporate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 t="str">
        <f t="shared" si="3"/>
        <v>Corporate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 t="str">
        <f t="shared" si="3"/>
        <v>Corporate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 t="str">
        <f t="shared" si="3"/>
        <v>Personal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 t="str">
        <f t="shared" si="3"/>
        <v>Personal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 t="str">
        <f t="shared" si="3"/>
        <v>Personal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 t="str">
        <f t="shared" si="3"/>
        <v>Personal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 t="str">
        <f t="shared" si="3"/>
        <v>Personal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 t="str">
        <f t="shared" si="3"/>
        <v>Personal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 t="str">
        <f t="shared" si="3"/>
        <v>Corporate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 t="str">
        <f t="shared" si="3"/>
        <v>Personal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 t="str">
        <f t="shared" si="3"/>
        <v>Personal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 t="str">
        <f t="shared" si="3"/>
        <v>Corporate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 t="str">
        <f t="shared" si="3"/>
        <v>Personal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 t="str">
        <f t="shared" si="3"/>
        <v>Corporate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 t="str">
        <f t="shared" si="3"/>
        <v>Personal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 t="str">
        <f t="shared" si="3"/>
        <v>Personal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 t="str">
        <f t="shared" si="3"/>
        <v>Corporate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 t="str">
        <f t="shared" si="3"/>
        <v>Personal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 t="str">
        <f t="shared" si="3"/>
        <v>Personal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 t="str">
        <f t="shared" si="3"/>
        <v>Corporate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 t="str">
        <f t="shared" si="3"/>
        <v>Personal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 t="str">
        <f t="shared" si="3"/>
        <v>Personal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 t="str">
        <f t="shared" si="3"/>
        <v>Personal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 t="str">
        <f t="shared" si="3"/>
        <v>Personal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 t="str">
        <f t="shared" si="3"/>
        <v>Personal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 t="str">
        <f t="shared" si="3"/>
        <v>Personal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 t="str">
        <f t="shared" si="3"/>
        <v>Personal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 t="str">
        <f t="shared" si="3"/>
        <v>Personal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 t="str">
        <f t="shared" ref="M259:M322" si="4">LEFT(I259,FIND(" ",I259)-1)</f>
        <v>Personal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 t="str">
        <f t="shared" si="4"/>
        <v>Personal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 t="str">
        <f t="shared" si="4"/>
        <v>Corporate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 t="str">
        <f t="shared" si="4"/>
        <v>Personal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 t="str">
        <f t="shared" si="4"/>
        <v>Personal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 t="str">
        <f t="shared" si="4"/>
        <v>Personal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 t="str">
        <f t="shared" si="4"/>
        <v>Personal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 t="str">
        <f t="shared" si="4"/>
        <v>Personal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 t="str">
        <f t="shared" si="4"/>
        <v>Corporate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 t="str">
        <f t="shared" si="4"/>
        <v>Corporate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 t="str">
        <f t="shared" si="4"/>
        <v>Personal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 t="str">
        <f t="shared" si="4"/>
        <v>Corporate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 t="str">
        <f t="shared" si="4"/>
        <v>Corporate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 t="str">
        <f t="shared" si="4"/>
        <v>Personal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 t="str">
        <f t="shared" si="4"/>
        <v>Personal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 t="str">
        <f t="shared" si="4"/>
        <v>Personal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 t="str">
        <f t="shared" si="4"/>
        <v>Personal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 t="str">
        <f t="shared" si="4"/>
        <v>Personal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 t="str">
        <f t="shared" si="4"/>
        <v>Special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 t="str">
        <f t="shared" si="4"/>
        <v>Corporate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 t="str">
        <f t="shared" si="4"/>
        <v>Personal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 t="str">
        <f t="shared" si="4"/>
        <v>Personal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 t="str">
        <f t="shared" si="4"/>
        <v>Personal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 t="str">
        <f t="shared" si="4"/>
        <v>Personal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 t="str">
        <f t="shared" si="4"/>
        <v>Personal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 t="str">
        <f t="shared" si="4"/>
        <v>Personal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 t="str">
        <f t="shared" si="4"/>
        <v>Personal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 t="str">
        <f t="shared" si="4"/>
        <v>Personal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 t="str">
        <f t="shared" si="4"/>
        <v>Personal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 t="str">
        <f t="shared" si="4"/>
        <v>Corporate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 t="str">
        <f t="shared" si="4"/>
        <v>Personal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 t="str">
        <f t="shared" si="4"/>
        <v>Personal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 t="str">
        <f t="shared" si="4"/>
        <v>Personal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 t="str">
        <f t="shared" si="4"/>
        <v>Personal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 t="str">
        <f t="shared" si="4"/>
        <v>Personal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 t="str">
        <f t="shared" si="4"/>
        <v>Personal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 t="str">
        <f t="shared" si="4"/>
        <v>Corporate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 t="str">
        <f t="shared" si="4"/>
        <v>Personal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 t="str">
        <f t="shared" si="4"/>
        <v>Special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 t="str">
        <f t="shared" si="4"/>
        <v>Personal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 t="str">
        <f t="shared" si="4"/>
        <v>Special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 t="str">
        <f t="shared" si="4"/>
        <v>Personal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 t="str">
        <f t="shared" si="4"/>
        <v>Corporate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 t="str">
        <f t="shared" si="4"/>
        <v>Personal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 t="str">
        <f t="shared" si="4"/>
        <v>Corporate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 t="str">
        <f t="shared" si="4"/>
        <v>Personal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 t="str">
        <f t="shared" si="4"/>
        <v>Personal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 t="str">
        <f t="shared" si="4"/>
        <v>Personal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 t="str">
        <f t="shared" si="4"/>
        <v>Personal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 t="str">
        <f t="shared" si="4"/>
        <v>Corporate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 t="str">
        <f t="shared" si="4"/>
        <v>Personal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 t="str">
        <f t="shared" si="4"/>
        <v>Personal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 t="str">
        <f t="shared" si="4"/>
        <v>Corporate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 t="str">
        <f t="shared" si="4"/>
        <v>Personal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 t="str">
        <f t="shared" si="4"/>
        <v>Personal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 t="str">
        <f t="shared" si="4"/>
        <v>Corporate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 t="str">
        <f t="shared" si="4"/>
        <v>Personal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 t="str">
        <f t="shared" si="4"/>
        <v>Corporate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 t="str">
        <f t="shared" si="4"/>
        <v>Personal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 t="str">
        <f t="shared" si="4"/>
        <v>Corporate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 t="str">
        <f t="shared" si="4"/>
        <v>Personal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 t="str">
        <f t="shared" si="4"/>
        <v>Personal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 t="str">
        <f t="shared" si="4"/>
        <v>Personal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 t="str">
        <f t="shared" si="4"/>
        <v>Corporate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 t="str">
        <f t="shared" ref="M323:M386" si="5">LEFT(I323,FIND(" ",I323)-1)</f>
        <v>Personal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 t="str">
        <f t="shared" si="5"/>
        <v>Corporate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 t="str">
        <f t="shared" si="5"/>
        <v>Personal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 t="str">
        <f t="shared" si="5"/>
        <v>Personal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 t="str">
        <f t="shared" si="5"/>
        <v>Personal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 t="str">
        <f t="shared" si="5"/>
        <v>Personal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 t="str">
        <f t="shared" si="5"/>
        <v>Corporate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 t="str">
        <f t="shared" si="5"/>
        <v>Personal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 t="str">
        <f t="shared" si="5"/>
        <v>Personal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 t="str">
        <f t="shared" si="5"/>
        <v>Personal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 t="str">
        <f t="shared" si="5"/>
        <v>Corporate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 t="str">
        <f t="shared" si="5"/>
        <v>Personal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 t="str">
        <f t="shared" si="5"/>
        <v>Personal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 t="str">
        <f t="shared" si="5"/>
        <v>Personal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 t="str">
        <f t="shared" si="5"/>
        <v>Personal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 t="str">
        <f t="shared" si="5"/>
        <v>Personal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 t="str">
        <f t="shared" si="5"/>
        <v>Corporate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 t="str">
        <f t="shared" si="5"/>
        <v>Personal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 t="str">
        <f t="shared" si="5"/>
        <v>Personal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 t="str">
        <f t="shared" si="5"/>
        <v>Personal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 t="str">
        <f t="shared" si="5"/>
        <v>Personal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 t="str">
        <f t="shared" si="5"/>
        <v>Personal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 t="str">
        <f t="shared" si="5"/>
        <v>Personal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 t="str">
        <f t="shared" si="5"/>
        <v>Personal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 t="str">
        <f t="shared" si="5"/>
        <v>Personal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 t="str">
        <f t="shared" si="5"/>
        <v>Personal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 t="str">
        <f t="shared" si="5"/>
        <v>Corporate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 t="str">
        <f t="shared" si="5"/>
        <v>Personal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 t="str">
        <f t="shared" si="5"/>
        <v>Corporate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 t="str">
        <f t="shared" si="5"/>
        <v>Personal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 t="str">
        <f t="shared" si="5"/>
        <v>Corporate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 t="str">
        <f t="shared" si="5"/>
        <v>Corporate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 t="str">
        <f t="shared" si="5"/>
        <v>Personal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 t="str">
        <f t="shared" si="5"/>
        <v>Personal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 t="str">
        <f t="shared" si="5"/>
        <v>Personal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 t="str">
        <f t="shared" si="5"/>
        <v>Personal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 t="str">
        <f t="shared" si="5"/>
        <v>Personal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 t="str">
        <f t="shared" si="5"/>
        <v>Personal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 t="str">
        <f t="shared" si="5"/>
        <v>Personal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 t="str">
        <f t="shared" si="5"/>
        <v>Personal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 t="str">
        <f t="shared" si="5"/>
        <v>Personal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 t="str">
        <f t="shared" si="5"/>
        <v>Personal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 t="str">
        <f t="shared" si="5"/>
        <v>Personal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 t="str">
        <f t="shared" si="5"/>
        <v>Special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 t="str">
        <f t="shared" si="5"/>
        <v>Corporate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 t="str">
        <f t="shared" si="5"/>
        <v>Personal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 t="str">
        <f t="shared" si="5"/>
        <v>Corporate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 t="str">
        <f t="shared" si="5"/>
        <v>Personal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 t="str">
        <f t="shared" si="5"/>
        <v>Corporate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 t="str">
        <f t="shared" si="5"/>
        <v>Personal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 t="str">
        <f t="shared" si="5"/>
        <v>Personal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 t="str">
        <f t="shared" si="5"/>
        <v>Corporate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 t="str">
        <f t="shared" si="5"/>
        <v>Personal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 t="str">
        <f t="shared" si="5"/>
        <v>Personal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 t="str">
        <f t="shared" si="5"/>
        <v>Special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 t="str">
        <f t="shared" si="5"/>
        <v>Personal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 t="str">
        <f t="shared" si="5"/>
        <v>Personal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 t="str">
        <f t="shared" si="5"/>
        <v>Personal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 t="str">
        <f t="shared" si="5"/>
        <v>Corporate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 t="str">
        <f t="shared" si="5"/>
        <v>Personal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 t="str">
        <f t="shared" si="5"/>
        <v>Special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 t="str">
        <f t="shared" si="5"/>
        <v>Personal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 t="str">
        <f t="shared" si="5"/>
        <v>Personal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 t="str">
        <f t="shared" si="5"/>
        <v>Corporate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 t="str">
        <f t="shared" ref="M387:M450" si="6">LEFT(I387,FIND(" ",I387)-1)</f>
        <v>Personal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 t="str">
        <f t="shared" si="6"/>
        <v>Personal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 t="str">
        <f t="shared" si="6"/>
        <v>Personal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 t="str">
        <f t="shared" si="6"/>
        <v>Personal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 t="str">
        <f t="shared" si="6"/>
        <v>Personal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 t="str">
        <f t="shared" si="6"/>
        <v>Personal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 t="str">
        <f t="shared" si="6"/>
        <v>Corporate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 t="str">
        <f t="shared" si="6"/>
        <v>Personal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 t="str">
        <f t="shared" si="6"/>
        <v>Personal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 t="str">
        <f t="shared" si="6"/>
        <v>Personal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 t="str">
        <f t="shared" si="6"/>
        <v>Corporate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 t="str">
        <f t="shared" si="6"/>
        <v>Personal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 t="str">
        <f t="shared" si="6"/>
        <v>Corporate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 t="str">
        <f t="shared" si="6"/>
        <v>Personal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 t="str">
        <f t="shared" si="6"/>
        <v>Personal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 t="str">
        <f t="shared" si="6"/>
        <v>Personal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 t="str">
        <f t="shared" si="6"/>
        <v>Personal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 t="str">
        <f t="shared" si="6"/>
        <v>Special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 t="str">
        <f t="shared" si="6"/>
        <v>Personal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 t="str">
        <f t="shared" si="6"/>
        <v>Personal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 t="str">
        <f t="shared" si="6"/>
        <v>Personal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 t="str">
        <f t="shared" si="6"/>
        <v>Corporate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 t="str">
        <f t="shared" si="6"/>
        <v>Personal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 t="str">
        <f t="shared" si="6"/>
        <v>Personal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 t="str">
        <f t="shared" si="6"/>
        <v>Personal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 t="str">
        <f t="shared" si="6"/>
        <v>Personal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 t="str">
        <f t="shared" si="6"/>
        <v>Personal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 t="str">
        <f t="shared" si="6"/>
        <v>Corporate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 t="str">
        <f t="shared" si="6"/>
        <v>Personal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 t="str">
        <f t="shared" si="6"/>
        <v>Personal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 t="str">
        <f t="shared" si="6"/>
        <v>Special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 t="str">
        <f t="shared" si="6"/>
        <v>Personal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 t="str">
        <f t="shared" si="6"/>
        <v>Corporate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 t="str">
        <f t="shared" si="6"/>
        <v>Personal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 t="str">
        <f t="shared" si="6"/>
        <v>Personal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 t="str">
        <f t="shared" si="6"/>
        <v>Personal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 t="str">
        <f t="shared" si="6"/>
        <v>Personal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 t="str">
        <f t="shared" si="6"/>
        <v>Personal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 t="str">
        <f t="shared" si="6"/>
        <v>Personal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 t="str">
        <f t="shared" si="6"/>
        <v>Personal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 t="str">
        <f t="shared" si="6"/>
        <v>Personal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 t="str">
        <f t="shared" si="6"/>
        <v>Personal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 t="str">
        <f t="shared" si="6"/>
        <v>Personal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 t="str">
        <f t="shared" si="6"/>
        <v>Corporate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 t="str">
        <f t="shared" si="6"/>
        <v>Corporate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 t="str">
        <f t="shared" si="6"/>
        <v>Personal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 t="str">
        <f t="shared" si="6"/>
        <v>Personal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 t="str">
        <f t="shared" si="6"/>
        <v>Personal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 t="str">
        <f t="shared" si="6"/>
        <v>Corporate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 t="str">
        <f t="shared" si="6"/>
        <v>Personal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 t="str">
        <f t="shared" si="6"/>
        <v>Personal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 t="str">
        <f t="shared" si="6"/>
        <v>Personal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 t="str">
        <f t="shared" si="6"/>
        <v>Personal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 t="str">
        <f t="shared" si="6"/>
        <v>Personal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 t="str">
        <f t="shared" si="6"/>
        <v>Personal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 t="str">
        <f t="shared" si="6"/>
        <v>Corporate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 t="str">
        <f t="shared" si="6"/>
        <v>Personal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 t="str">
        <f t="shared" si="6"/>
        <v>Personal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 t="str">
        <f t="shared" si="6"/>
        <v>Personal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 t="str">
        <f t="shared" si="6"/>
        <v>Personal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 t="str">
        <f t="shared" si="6"/>
        <v>Corporate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 t="str">
        <f t="shared" si="6"/>
        <v>Personal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 t="str">
        <f t="shared" si="6"/>
        <v>Special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 t="str">
        <f t="shared" si="6"/>
        <v>Corporate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 t="str">
        <f t="shared" ref="M451:M514" si="7">LEFT(I451,FIND(" ",I451)-1)</f>
        <v>Personal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 t="str">
        <f t="shared" si="7"/>
        <v>Personal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 t="str">
        <f t="shared" si="7"/>
        <v>Personal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 t="str">
        <f t="shared" si="7"/>
        <v>Personal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 t="str">
        <f t="shared" si="7"/>
        <v>Corporate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 t="str">
        <f t="shared" si="7"/>
        <v>Personal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 t="str">
        <f t="shared" si="7"/>
        <v>Corporate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 t="str">
        <f t="shared" si="7"/>
        <v>Corporate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 t="str">
        <f t="shared" si="7"/>
        <v>Personal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 t="str">
        <f t="shared" si="7"/>
        <v>Corporate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 t="str">
        <f t="shared" si="7"/>
        <v>Corporate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 t="str">
        <f t="shared" si="7"/>
        <v>Personal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 t="str">
        <f t="shared" si="7"/>
        <v>Personal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 t="str">
        <f t="shared" si="7"/>
        <v>Personal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 t="str">
        <f t="shared" si="7"/>
        <v>Personal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 t="str">
        <f t="shared" si="7"/>
        <v>Personal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 t="str">
        <f t="shared" si="7"/>
        <v>Personal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 t="str">
        <f t="shared" si="7"/>
        <v>Corporate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 t="str">
        <f t="shared" si="7"/>
        <v>Corporate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 t="str">
        <f t="shared" si="7"/>
        <v>Corporate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 t="str">
        <f t="shared" si="7"/>
        <v>Corporate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 t="str">
        <f t="shared" si="7"/>
        <v>Personal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 t="str">
        <f t="shared" si="7"/>
        <v>Special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 t="str">
        <f t="shared" si="7"/>
        <v>Corporate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 t="str">
        <f t="shared" si="7"/>
        <v>Corporate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 t="str">
        <f t="shared" si="7"/>
        <v>Personal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 t="str">
        <f t="shared" si="7"/>
        <v>Personal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 t="str">
        <f t="shared" si="7"/>
        <v>Personal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 t="str">
        <f t="shared" si="7"/>
        <v>Personal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 t="str">
        <f t="shared" si="7"/>
        <v>Personal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 t="str">
        <f t="shared" si="7"/>
        <v>Personal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 t="str">
        <f t="shared" si="7"/>
        <v>Personal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 t="str">
        <f t="shared" si="7"/>
        <v>Personal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 t="str">
        <f t="shared" si="7"/>
        <v>Personal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 t="str">
        <f t="shared" si="7"/>
        <v>Personal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 t="str">
        <f t="shared" si="7"/>
        <v>Personal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 t="str">
        <f t="shared" si="7"/>
        <v>Personal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 t="str">
        <f t="shared" si="7"/>
        <v>Personal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 t="str">
        <f t="shared" si="7"/>
        <v>Personal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 t="str">
        <f t="shared" si="7"/>
        <v>Personal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 t="str">
        <f t="shared" si="7"/>
        <v>Personal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 t="str">
        <f t="shared" si="7"/>
        <v>Corporate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 t="str">
        <f t="shared" si="7"/>
        <v>Personal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 t="str">
        <f t="shared" si="7"/>
        <v>Personal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 t="str">
        <f t="shared" si="7"/>
        <v>Corporate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 t="str">
        <f t="shared" si="7"/>
        <v>Personal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 t="str">
        <f t="shared" si="7"/>
        <v>Personal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 t="str">
        <f t="shared" si="7"/>
        <v>Personal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 t="str">
        <f t="shared" si="7"/>
        <v>Personal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 t="str">
        <f t="shared" si="7"/>
        <v>Personal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 t="str">
        <f t="shared" si="7"/>
        <v>Personal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 t="str">
        <f t="shared" si="7"/>
        <v>Corporate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 t="str">
        <f t="shared" si="7"/>
        <v>Personal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 t="str">
        <f t="shared" si="7"/>
        <v>Corporate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 t="str">
        <f t="shared" si="7"/>
        <v>Personal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 t="str">
        <f t="shared" si="7"/>
        <v>Corporate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 t="str">
        <f t="shared" si="7"/>
        <v>Personal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 t="str">
        <f t="shared" si="7"/>
        <v>Corporate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 t="str">
        <f t="shared" si="7"/>
        <v>Corporate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 t="str">
        <f t="shared" si="7"/>
        <v>Personal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 t="str">
        <f t="shared" si="7"/>
        <v>Corporate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 t="str">
        <f t="shared" si="7"/>
        <v>Personal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 t="str">
        <f t="shared" si="7"/>
        <v>Personal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 t="str">
        <f t="shared" si="7"/>
        <v>Corporate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 t="str">
        <f t="shared" ref="M515:M578" si="8">LEFT(I515,FIND(" ",I515)-1)</f>
        <v>Corporate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 t="str">
        <f t="shared" si="8"/>
        <v>Personal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 t="str">
        <f t="shared" si="8"/>
        <v>Personal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 t="str">
        <f t="shared" si="8"/>
        <v>Special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 t="str">
        <f t="shared" si="8"/>
        <v>Corporate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 t="str">
        <f t="shared" si="8"/>
        <v>Personal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 t="str">
        <f t="shared" si="8"/>
        <v>Personal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 t="str">
        <f t="shared" si="8"/>
        <v>Corporate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 t="str">
        <f t="shared" si="8"/>
        <v>Corporate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 t="str">
        <f t="shared" si="8"/>
        <v>Corporate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 t="str">
        <f t="shared" si="8"/>
        <v>Personal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 t="str">
        <f t="shared" si="8"/>
        <v>Personal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 t="str">
        <f t="shared" si="8"/>
        <v>Corporate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 t="str">
        <f t="shared" si="8"/>
        <v>Personal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 t="str">
        <f t="shared" si="8"/>
        <v>Personal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 t="str">
        <f t="shared" si="8"/>
        <v>Personal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 t="str">
        <f t="shared" si="8"/>
        <v>Special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 t="str">
        <f t="shared" si="8"/>
        <v>Corporate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 t="str">
        <f t="shared" si="8"/>
        <v>Personal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 t="str">
        <f t="shared" si="8"/>
        <v>Corporate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 t="str">
        <f t="shared" si="8"/>
        <v>Personal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 t="str">
        <f t="shared" si="8"/>
        <v>Personal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 t="str">
        <f t="shared" si="8"/>
        <v>Personal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 t="str">
        <f t="shared" si="8"/>
        <v>Personal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 t="str">
        <f t="shared" si="8"/>
        <v>Personal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 t="str">
        <f t="shared" si="8"/>
        <v>Personal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 t="str">
        <f t="shared" si="8"/>
        <v>Personal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 t="str">
        <f t="shared" si="8"/>
        <v>Personal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 t="str">
        <f t="shared" si="8"/>
        <v>Personal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 t="str">
        <f t="shared" si="8"/>
        <v>Corporate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 t="str">
        <f t="shared" si="8"/>
        <v>Personal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 t="str">
        <f t="shared" si="8"/>
        <v>Special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 t="str">
        <f t="shared" si="8"/>
        <v>Personal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 t="str">
        <f t="shared" si="8"/>
        <v>Personal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 t="str">
        <f t="shared" si="8"/>
        <v>Personal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 t="str">
        <f t="shared" si="8"/>
        <v>Personal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 t="str">
        <f t="shared" si="8"/>
        <v>Corporate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 t="str">
        <f t="shared" si="8"/>
        <v>Personal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 t="str">
        <f t="shared" si="8"/>
        <v>Corporate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 t="str">
        <f t="shared" si="8"/>
        <v>Personal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 t="str">
        <f t="shared" si="8"/>
        <v>Personal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 t="str">
        <f t="shared" si="8"/>
        <v>Personal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 t="str">
        <f t="shared" si="8"/>
        <v>Personal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 t="str">
        <f t="shared" si="8"/>
        <v>Personal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 t="str">
        <f t="shared" si="8"/>
        <v>Corporate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 t="str">
        <f t="shared" si="8"/>
        <v>Corporate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 t="str">
        <f t="shared" si="8"/>
        <v>Personal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 t="str">
        <f t="shared" si="8"/>
        <v>Corporate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 t="str">
        <f t="shared" si="8"/>
        <v>Corporate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 t="str">
        <f t="shared" si="8"/>
        <v>Personal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 t="str">
        <f t="shared" si="8"/>
        <v>Personal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 t="str">
        <f t="shared" si="8"/>
        <v>Personal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 t="str">
        <f t="shared" si="8"/>
        <v>Corporate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 t="str">
        <f t="shared" si="8"/>
        <v>Personal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 t="str">
        <f t="shared" si="8"/>
        <v>Personal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 t="str">
        <f t="shared" si="8"/>
        <v>Corporate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 t="str">
        <f t="shared" si="8"/>
        <v>Personal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 t="str">
        <f t="shared" si="8"/>
        <v>Personal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 t="str">
        <f t="shared" si="8"/>
        <v>Personal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 t="str">
        <f t="shared" si="8"/>
        <v>Special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 t="str">
        <f t="shared" si="8"/>
        <v>Personal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 t="str">
        <f t="shared" si="8"/>
        <v>Personal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 t="str">
        <f t="shared" si="8"/>
        <v>Personal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 t="str">
        <f t="shared" si="8"/>
        <v>Personal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 t="str">
        <f t="shared" ref="M579:M642" si="9">LEFT(I579,FIND(" ",I579)-1)</f>
        <v>Personal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 t="str">
        <f t="shared" si="9"/>
        <v>Personal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 t="str">
        <f t="shared" si="9"/>
        <v>Personal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 t="str">
        <f t="shared" si="9"/>
        <v>Personal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 t="str">
        <f t="shared" si="9"/>
        <v>Personal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 t="str">
        <f t="shared" si="9"/>
        <v>Personal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 t="str">
        <f t="shared" si="9"/>
        <v>Personal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 t="str">
        <f t="shared" si="9"/>
        <v>Personal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 t="str">
        <f t="shared" si="9"/>
        <v>Personal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 t="str">
        <f t="shared" si="9"/>
        <v>Personal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 t="str">
        <f t="shared" si="9"/>
        <v>Personal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 t="str">
        <f t="shared" si="9"/>
        <v>Personal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 t="str">
        <f t="shared" si="9"/>
        <v>Personal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 t="str">
        <f t="shared" si="9"/>
        <v>Personal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 t="str">
        <f t="shared" si="9"/>
        <v>Personal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 t="str">
        <f t="shared" si="9"/>
        <v>Special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 t="str">
        <f t="shared" si="9"/>
        <v>Personal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 t="str">
        <f t="shared" si="9"/>
        <v>Corporate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 t="str">
        <f t="shared" si="9"/>
        <v>Personal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 t="str">
        <f t="shared" si="9"/>
        <v>Personal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 t="str">
        <f t="shared" si="9"/>
        <v>Personal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 t="str">
        <f t="shared" si="9"/>
        <v>Personal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 t="str">
        <f t="shared" si="9"/>
        <v>Personal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 t="str">
        <f t="shared" si="9"/>
        <v>Corporate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 t="str">
        <f t="shared" si="9"/>
        <v>Personal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 t="str">
        <f t="shared" si="9"/>
        <v>Personal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 t="str">
        <f t="shared" si="9"/>
        <v>Corporate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 t="str">
        <f t="shared" si="9"/>
        <v>Personal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 t="str">
        <f t="shared" si="9"/>
        <v>Corporate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 t="str">
        <f t="shared" si="9"/>
        <v>Corporate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 t="str">
        <f t="shared" si="9"/>
        <v>Personal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 t="str">
        <f t="shared" si="9"/>
        <v>Personal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 t="str">
        <f t="shared" si="9"/>
        <v>Personal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 t="str">
        <f t="shared" si="9"/>
        <v>Special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 t="str">
        <f t="shared" si="9"/>
        <v>Personal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 t="str">
        <f t="shared" si="9"/>
        <v>Special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 t="str">
        <f t="shared" si="9"/>
        <v>Personal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 t="str">
        <f t="shared" si="9"/>
        <v>Personal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 t="str">
        <f t="shared" si="9"/>
        <v>Corporate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 t="str">
        <f t="shared" si="9"/>
        <v>Personal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 t="str">
        <f t="shared" si="9"/>
        <v>Corporate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 t="str">
        <f t="shared" si="9"/>
        <v>Corporate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 t="str">
        <f t="shared" si="9"/>
        <v>Personal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 t="str">
        <f t="shared" si="9"/>
        <v>Personal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 t="str">
        <f t="shared" si="9"/>
        <v>Personal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 t="str">
        <f t="shared" si="9"/>
        <v>Personal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 t="str">
        <f t="shared" si="9"/>
        <v>Personal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 t="str">
        <f t="shared" si="9"/>
        <v>Personal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 t="str">
        <f t="shared" si="9"/>
        <v>Personal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 t="str">
        <f t="shared" si="9"/>
        <v>Personal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 t="str">
        <f t="shared" si="9"/>
        <v>Personal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 t="str">
        <f t="shared" si="9"/>
        <v>Personal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 t="str">
        <f t="shared" si="9"/>
        <v>Personal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 t="str">
        <f t="shared" si="9"/>
        <v>Personal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 t="str">
        <f t="shared" si="9"/>
        <v>Personal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 t="str">
        <f t="shared" si="9"/>
        <v>Corporate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 t="str">
        <f t="shared" si="9"/>
        <v>Personal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 t="str">
        <f t="shared" si="9"/>
        <v>Corporate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 t="str">
        <f t="shared" si="9"/>
        <v>Special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 t="str">
        <f t="shared" si="9"/>
        <v>Personal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 t="str">
        <f t="shared" si="9"/>
        <v>Personal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 t="str">
        <f t="shared" si="9"/>
        <v>Personal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 t="str">
        <f t="shared" si="9"/>
        <v>Special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 t="str">
        <f t="shared" si="9"/>
        <v>Personal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 t="str">
        <f t="shared" ref="M643:M706" si="10">LEFT(I643,FIND(" ",I643)-1)</f>
        <v>Personal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 t="str">
        <f t="shared" si="10"/>
        <v>Personal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 t="str">
        <f t="shared" si="10"/>
        <v>Personal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 t="str">
        <f t="shared" si="10"/>
        <v>Personal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 t="str">
        <f t="shared" si="10"/>
        <v>Corporate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 t="str">
        <f t="shared" si="10"/>
        <v>Corporate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 t="str">
        <f t="shared" si="10"/>
        <v>Personal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 t="str">
        <f t="shared" si="10"/>
        <v>Corporate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 t="str">
        <f t="shared" si="10"/>
        <v>Personal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 t="str">
        <f t="shared" si="10"/>
        <v>Personal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 t="str">
        <f t="shared" si="10"/>
        <v>Personal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 t="str">
        <f t="shared" si="10"/>
        <v>Personal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 t="str">
        <f t="shared" si="10"/>
        <v>Corporate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 t="str">
        <f t="shared" si="10"/>
        <v>Personal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 t="str">
        <f t="shared" si="10"/>
        <v>Personal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 t="str">
        <f t="shared" si="10"/>
        <v>Personal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 t="str">
        <f t="shared" si="10"/>
        <v>Personal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 t="str">
        <f t="shared" si="10"/>
        <v>Personal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 t="str">
        <f t="shared" si="10"/>
        <v>Corporate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 t="str">
        <f t="shared" si="10"/>
        <v>Special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 t="str">
        <f t="shared" si="10"/>
        <v>Corporate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 t="str">
        <f t="shared" si="10"/>
        <v>Corporate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 t="str">
        <f t="shared" si="10"/>
        <v>Personal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 t="str">
        <f t="shared" si="10"/>
        <v>Personal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 t="str">
        <f t="shared" si="10"/>
        <v>Corporate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 t="str">
        <f t="shared" si="10"/>
        <v>Personal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 t="str">
        <f t="shared" si="10"/>
        <v>Personal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 t="str">
        <f t="shared" si="10"/>
        <v>Personal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 t="str">
        <f t="shared" si="10"/>
        <v>Personal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 t="str">
        <f t="shared" si="10"/>
        <v>Personal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 t="str">
        <f t="shared" si="10"/>
        <v>Personal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 t="str">
        <f t="shared" si="10"/>
        <v>Personal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 t="str">
        <f t="shared" si="10"/>
        <v>Personal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 t="str">
        <f t="shared" si="10"/>
        <v>Corporate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 t="str">
        <f t="shared" si="10"/>
        <v>Corporate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 t="str">
        <f t="shared" si="10"/>
        <v>Personal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 t="str">
        <f t="shared" si="10"/>
        <v>Personal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 t="str">
        <f t="shared" si="10"/>
        <v>Personal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 t="str">
        <f t="shared" si="10"/>
        <v>Personal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 t="str">
        <f t="shared" si="10"/>
        <v>Personal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 t="str">
        <f t="shared" si="10"/>
        <v>Personal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 t="str">
        <f t="shared" si="10"/>
        <v>Personal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 t="str">
        <f t="shared" si="10"/>
        <v>Corporate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 t="str">
        <f t="shared" si="10"/>
        <v>Special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 t="str">
        <f t="shared" si="10"/>
        <v>Personal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 t="str">
        <f t="shared" si="10"/>
        <v>Personal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 t="str">
        <f t="shared" si="10"/>
        <v>Personal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 t="str">
        <f t="shared" si="10"/>
        <v>Personal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 t="str">
        <f t="shared" si="10"/>
        <v>Personal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 t="str">
        <f t="shared" si="10"/>
        <v>Personal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 t="str">
        <f t="shared" si="10"/>
        <v>Personal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 t="str">
        <f t="shared" si="10"/>
        <v>Personal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 t="str">
        <f t="shared" si="10"/>
        <v>Corporate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 t="str">
        <f t="shared" si="10"/>
        <v>Personal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 t="str">
        <f t="shared" si="10"/>
        <v>Personal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 t="str">
        <f t="shared" si="10"/>
        <v>Corporate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 t="str">
        <f t="shared" si="10"/>
        <v>Personal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 t="str">
        <f t="shared" si="10"/>
        <v>Corporate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 t="str">
        <f t="shared" si="10"/>
        <v>Personal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 t="str">
        <f t="shared" si="10"/>
        <v>Personal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 t="str">
        <f t="shared" si="10"/>
        <v>Personal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 t="str">
        <f t="shared" si="10"/>
        <v>Personal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 t="str">
        <f t="shared" si="10"/>
        <v>Corporate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 t="str">
        <f t="shared" si="10"/>
        <v>Personal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 t="str">
        <f t="shared" ref="M707:M770" si="11">LEFT(I707,FIND(" ",I707)-1)</f>
        <v>Personal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 t="str">
        <f t="shared" si="11"/>
        <v>Personal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 t="str">
        <f t="shared" si="11"/>
        <v>Personal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 t="str">
        <f t="shared" si="11"/>
        <v>Personal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 t="str">
        <f t="shared" si="11"/>
        <v>Personal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 t="str">
        <f t="shared" si="11"/>
        <v>Personal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 t="str">
        <f t="shared" si="11"/>
        <v>Personal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 t="str">
        <f t="shared" si="11"/>
        <v>Personal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 t="str">
        <f t="shared" si="11"/>
        <v>Corporate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 t="str">
        <f t="shared" si="11"/>
        <v>Personal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 t="str">
        <f t="shared" si="11"/>
        <v>Personal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 t="str">
        <f t="shared" si="11"/>
        <v>Corporate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 t="str">
        <f t="shared" si="11"/>
        <v>Personal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 t="str">
        <f t="shared" si="11"/>
        <v>Corporate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 t="str">
        <f t="shared" si="11"/>
        <v>Personal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 t="str">
        <f t="shared" si="11"/>
        <v>Special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 t="str">
        <f t="shared" si="11"/>
        <v>Personal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 t="str">
        <f t="shared" si="11"/>
        <v>Personal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 t="str">
        <f t="shared" si="11"/>
        <v>Personal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 t="str">
        <f t="shared" si="11"/>
        <v>Corporate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 t="str">
        <f t="shared" si="11"/>
        <v>Personal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 t="str">
        <f t="shared" si="11"/>
        <v>Personal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 t="str">
        <f t="shared" si="11"/>
        <v>Corporate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 t="str">
        <f t="shared" si="11"/>
        <v>Corporate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 t="str">
        <f t="shared" si="11"/>
        <v>Corporate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 t="str">
        <f t="shared" si="11"/>
        <v>Personal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 t="str">
        <f t="shared" si="11"/>
        <v>Personal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 t="str">
        <f t="shared" si="11"/>
        <v>Personal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 t="str">
        <f t="shared" si="11"/>
        <v>Corporate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 t="str">
        <f t="shared" si="11"/>
        <v>Personal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 t="str">
        <f t="shared" si="11"/>
        <v>Personal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 t="str">
        <f t="shared" si="11"/>
        <v>Personal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 t="str">
        <f t="shared" si="11"/>
        <v>Personal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 t="str">
        <f t="shared" si="11"/>
        <v>Personal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 t="str">
        <f t="shared" si="11"/>
        <v>Personal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 t="str">
        <f t="shared" si="11"/>
        <v>Personal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 t="str">
        <f t="shared" si="11"/>
        <v>Personal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 t="str">
        <f t="shared" si="11"/>
        <v>Corporate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 t="str">
        <f t="shared" si="11"/>
        <v>Personal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 t="str">
        <f t="shared" si="11"/>
        <v>Personal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 t="str">
        <f t="shared" si="11"/>
        <v>Personal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 t="str">
        <f t="shared" si="11"/>
        <v>Personal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 t="str">
        <f t="shared" si="11"/>
        <v>Personal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 t="str">
        <f t="shared" si="11"/>
        <v>Personal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 t="str">
        <f t="shared" si="11"/>
        <v>Special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 t="str">
        <f t="shared" si="11"/>
        <v>Personal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 t="str">
        <f t="shared" si="11"/>
        <v>Personal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 t="str">
        <f t="shared" si="11"/>
        <v>Personal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 t="str">
        <f t="shared" si="11"/>
        <v>Special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 t="str">
        <f t="shared" si="11"/>
        <v>Personal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 t="str">
        <f t="shared" si="11"/>
        <v>Personal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 t="str">
        <f t="shared" si="11"/>
        <v>Personal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 t="str">
        <f t="shared" si="11"/>
        <v>Corporate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 t="str">
        <f t="shared" si="11"/>
        <v>Personal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 t="str">
        <f t="shared" si="11"/>
        <v>Personal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 t="str">
        <f t="shared" si="11"/>
        <v>Corporate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 t="str">
        <f t="shared" si="11"/>
        <v>Personal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 t="str">
        <f t="shared" si="11"/>
        <v>Personal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 t="str">
        <f t="shared" si="11"/>
        <v>Corporate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 t="str">
        <f t="shared" si="11"/>
        <v>Personal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 t="str">
        <f t="shared" si="11"/>
        <v>Personal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 t="str">
        <f t="shared" si="11"/>
        <v>Corporate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 t="str">
        <f t="shared" si="11"/>
        <v>Personal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 t="str">
        <f t="shared" si="11"/>
        <v>Personal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 t="str">
        <f t="shared" ref="M771:M834" si="12">LEFT(I771,FIND(" ",I771)-1)</f>
        <v>Corporate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 t="str">
        <f t="shared" si="12"/>
        <v>Personal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 t="str">
        <f t="shared" si="12"/>
        <v>Personal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 t="str">
        <f t="shared" si="12"/>
        <v>Personal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 t="str">
        <f t="shared" si="12"/>
        <v>Personal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 t="str">
        <f t="shared" si="12"/>
        <v>Personal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 t="str">
        <f t="shared" si="12"/>
        <v>Corporate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 t="str">
        <f t="shared" si="12"/>
        <v>Personal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 t="str">
        <f t="shared" si="12"/>
        <v>Corporate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 t="str">
        <f t="shared" si="12"/>
        <v>Corporate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 t="str">
        <f t="shared" si="12"/>
        <v>Personal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 t="str">
        <f t="shared" si="12"/>
        <v>Personal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 t="str">
        <f t="shared" si="12"/>
        <v>Personal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 t="str">
        <f t="shared" si="12"/>
        <v>Corporate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 t="str">
        <f t="shared" si="12"/>
        <v>Corporate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 t="str">
        <f t="shared" si="12"/>
        <v>Personal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 t="str">
        <f t="shared" si="12"/>
        <v>Special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 t="str">
        <f t="shared" si="12"/>
        <v>Corporate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 t="str">
        <f t="shared" si="12"/>
        <v>Personal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 t="str">
        <f t="shared" si="12"/>
        <v>Personal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 t="str">
        <f t="shared" si="12"/>
        <v>Special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 t="str">
        <f t="shared" si="12"/>
        <v>Personal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 t="str">
        <f t="shared" si="12"/>
        <v>Personal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 t="str">
        <f t="shared" si="12"/>
        <v>Personal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 t="str">
        <f t="shared" si="12"/>
        <v>Personal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 t="str">
        <f t="shared" si="12"/>
        <v>Personal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 t="str">
        <f t="shared" si="12"/>
        <v>Personal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 t="str">
        <f t="shared" si="12"/>
        <v>Personal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 t="str">
        <f t="shared" si="12"/>
        <v>Personal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 t="str">
        <f t="shared" si="12"/>
        <v>Personal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 t="str">
        <f t="shared" si="12"/>
        <v>Personal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 t="str">
        <f t="shared" si="12"/>
        <v>Personal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 t="str">
        <f t="shared" si="12"/>
        <v>Personal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 t="str">
        <f t="shared" si="12"/>
        <v>Personal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 t="str">
        <f t="shared" si="12"/>
        <v>Corporate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 t="str">
        <f t="shared" si="12"/>
        <v>Corporate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 t="str">
        <f t="shared" si="12"/>
        <v>Special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 t="str">
        <f t="shared" si="12"/>
        <v>Personal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 t="str">
        <f t="shared" si="12"/>
        <v>Corporate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 t="str">
        <f t="shared" si="12"/>
        <v>Special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 t="str">
        <f t="shared" si="12"/>
        <v>Special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 t="str">
        <f t="shared" si="12"/>
        <v>Personal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 t="str">
        <f t="shared" si="12"/>
        <v>Personal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 t="str">
        <f t="shared" si="12"/>
        <v>Personal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 t="str">
        <f t="shared" si="12"/>
        <v>Personal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 t="str">
        <f t="shared" si="12"/>
        <v>Special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 t="str">
        <f t="shared" si="12"/>
        <v>Personal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 t="str">
        <f t="shared" si="12"/>
        <v>Personal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 t="str">
        <f t="shared" si="12"/>
        <v>Personal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 t="str">
        <f t="shared" si="12"/>
        <v>Personal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 t="str">
        <f t="shared" si="12"/>
        <v>Personal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 t="str">
        <f t="shared" si="12"/>
        <v>Personal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 t="str">
        <f t="shared" si="12"/>
        <v>Personal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 t="str">
        <f t="shared" si="12"/>
        <v>Personal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 t="str">
        <f t="shared" si="12"/>
        <v>Personal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 t="str">
        <f t="shared" si="12"/>
        <v>Corporate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 t="str">
        <f t="shared" si="12"/>
        <v>Personal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 t="str">
        <f t="shared" si="12"/>
        <v>Corporate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 t="str">
        <f t="shared" si="12"/>
        <v>Personal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 t="str">
        <f t="shared" si="12"/>
        <v>Corporate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 t="str">
        <f t="shared" si="12"/>
        <v>Corporate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 t="str">
        <f t="shared" si="12"/>
        <v>Corporate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 t="str">
        <f t="shared" si="12"/>
        <v>Personal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 t="str">
        <f t="shared" si="12"/>
        <v>Personal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 t="str">
        <f t="shared" ref="M835:M898" si="13">LEFT(I835,FIND(" ",I835)-1)</f>
        <v>Personal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 t="str">
        <f t="shared" si="13"/>
        <v>Personal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 t="str">
        <f t="shared" si="13"/>
        <v>Personal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 t="str">
        <f t="shared" si="13"/>
        <v>Personal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 t="str">
        <f t="shared" si="13"/>
        <v>Personal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 t="str">
        <f t="shared" si="13"/>
        <v>Personal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 t="str">
        <f t="shared" si="13"/>
        <v>Personal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 t="str">
        <f t="shared" si="13"/>
        <v>Personal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 t="str">
        <f t="shared" si="13"/>
        <v>Personal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 t="str">
        <f t="shared" si="13"/>
        <v>Personal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 t="str">
        <f t="shared" si="13"/>
        <v>Personal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 t="str">
        <f t="shared" si="13"/>
        <v>Corporate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 t="str">
        <f t="shared" si="13"/>
        <v>Personal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 t="str">
        <f t="shared" si="13"/>
        <v>Personal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 t="str">
        <f t="shared" si="13"/>
        <v>Personal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 t="str">
        <f t="shared" si="13"/>
        <v>Personal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 t="str">
        <f t="shared" si="13"/>
        <v>Personal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 t="str">
        <f t="shared" si="13"/>
        <v>Personal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 t="str">
        <f t="shared" si="13"/>
        <v>Personal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 t="str">
        <f t="shared" si="13"/>
        <v>Corporate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 t="str">
        <f t="shared" si="13"/>
        <v>Personal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 t="str">
        <f t="shared" si="13"/>
        <v>Personal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 t="str">
        <f t="shared" si="13"/>
        <v>Personal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 t="str">
        <f t="shared" si="13"/>
        <v>Corporate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 t="str">
        <f t="shared" si="13"/>
        <v>Personal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 t="str">
        <f t="shared" si="13"/>
        <v>Personal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 t="str">
        <f t="shared" si="13"/>
        <v>Personal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 t="str">
        <f t="shared" si="13"/>
        <v>Personal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 t="str">
        <f t="shared" si="13"/>
        <v>Personal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 t="str">
        <f t="shared" si="13"/>
        <v>Personal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 t="str">
        <f t="shared" si="13"/>
        <v>Personal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 t="str">
        <f t="shared" si="13"/>
        <v>Personal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 t="str">
        <f t="shared" si="13"/>
        <v>Corporate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 t="str">
        <f t="shared" si="13"/>
        <v>Personal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 t="str">
        <f t="shared" si="13"/>
        <v>Personal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 t="str">
        <f t="shared" si="13"/>
        <v>Personal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 t="str">
        <f t="shared" si="13"/>
        <v>Personal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 t="str">
        <f t="shared" si="13"/>
        <v>Personal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 t="str">
        <f t="shared" si="13"/>
        <v>Personal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 t="str">
        <f t="shared" si="13"/>
        <v>Personal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 t="str">
        <f t="shared" si="13"/>
        <v>Corporate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 t="str">
        <f t="shared" si="13"/>
        <v>Personal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 t="str">
        <f t="shared" si="13"/>
        <v>Personal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 t="str">
        <f t="shared" si="13"/>
        <v>Personal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 t="str">
        <f t="shared" si="13"/>
        <v>Personal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 t="str">
        <f t="shared" si="13"/>
        <v>Personal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 t="str">
        <f t="shared" si="13"/>
        <v>Corporate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 t="str">
        <f t="shared" si="13"/>
        <v>Personal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 t="str">
        <f t="shared" si="13"/>
        <v>Personal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 t="str">
        <f t="shared" si="13"/>
        <v>Personal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 t="str">
        <f t="shared" si="13"/>
        <v>Personal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 t="str">
        <f t="shared" si="13"/>
        <v>Special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 t="str">
        <f t="shared" si="13"/>
        <v>Corporate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 t="str">
        <f t="shared" si="13"/>
        <v>Personal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 t="str">
        <f t="shared" si="13"/>
        <v>Corporate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 t="str">
        <f t="shared" si="13"/>
        <v>Personal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 t="str">
        <f t="shared" si="13"/>
        <v>Corporate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 t="str">
        <f t="shared" si="13"/>
        <v>Personal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 t="str">
        <f t="shared" si="13"/>
        <v>Corporate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 t="str">
        <f t="shared" si="13"/>
        <v>Personal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 t="str">
        <f t="shared" si="13"/>
        <v>Special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 t="str">
        <f t="shared" si="13"/>
        <v>Corporate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 t="str">
        <f t="shared" si="13"/>
        <v>Personal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 t="str">
        <f t="shared" si="13"/>
        <v>Personal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 t="str">
        <f t="shared" ref="M899:M962" si="14">LEFT(I899,FIND(" ",I899)-1)</f>
        <v>Corporate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 t="str">
        <f t="shared" si="14"/>
        <v>Corporate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 t="str">
        <f t="shared" si="14"/>
        <v>Personal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 t="str">
        <f t="shared" si="14"/>
        <v>Special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 t="str">
        <f t="shared" si="14"/>
        <v>Personal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 t="str">
        <f t="shared" si="14"/>
        <v>Personal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 t="str">
        <f t="shared" si="14"/>
        <v>Personal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 t="str">
        <f t="shared" si="14"/>
        <v>Personal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 t="str">
        <f t="shared" si="14"/>
        <v>Personal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 t="str">
        <f t="shared" si="14"/>
        <v>Corporate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 t="str">
        <f t="shared" si="14"/>
        <v>Personal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 t="str">
        <f t="shared" si="14"/>
        <v>Personal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 t="str">
        <f t="shared" si="14"/>
        <v>Corporate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 t="str">
        <f t="shared" si="14"/>
        <v>Personal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 t="str">
        <f t="shared" si="14"/>
        <v>Corporate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 t="str">
        <f t="shared" si="14"/>
        <v>Personal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 t="str">
        <f t="shared" si="14"/>
        <v>Personal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 t="str">
        <f t="shared" si="14"/>
        <v>Corporate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 t="str">
        <f t="shared" si="14"/>
        <v>Corporate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 t="str">
        <f t="shared" si="14"/>
        <v>Special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 t="str">
        <f t="shared" si="14"/>
        <v>Special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 t="str">
        <f t="shared" si="14"/>
        <v>Personal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 t="str">
        <f t="shared" si="14"/>
        <v>Personal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 t="str">
        <f t="shared" si="14"/>
        <v>Corporate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 t="str">
        <f t="shared" si="14"/>
        <v>Personal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 t="str">
        <f t="shared" si="14"/>
        <v>Personal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 t="str">
        <f t="shared" si="14"/>
        <v>Personal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 t="str">
        <f t="shared" si="14"/>
        <v>Personal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 t="str">
        <f t="shared" si="14"/>
        <v>Corporate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 t="str">
        <f t="shared" si="14"/>
        <v>Personal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 t="str">
        <f t="shared" si="14"/>
        <v>Special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 t="str">
        <f t="shared" si="14"/>
        <v>Personal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 t="str">
        <f t="shared" si="14"/>
        <v>Personal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 t="str">
        <f t="shared" si="14"/>
        <v>Corporate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 t="str">
        <f t="shared" si="14"/>
        <v>Personal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 t="str">
        <f t="shared" si="14"/>
        <v>Special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 t="str">
        <f t="shared" si="14"/>
        <v>Personal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 t="str">
        <f t="shared" si="14"/>
        <v>Personal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 t="str">
        <f t="shared" si="14"/>
        <v>Personal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 t="str">
        <f t="shared" si="14"/>
        <v>Personal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 t="str">
        <f t="shared" si="14"/>
        <v>Personal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 t="str">
        <f t="shared" si="14"/>
        <v>Corporate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 t="str">
        <f t="shared" si="14"/>
        <v>Personal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 t="str">
        <f t="shared" si="14"/>
        <v>Corporate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 t="str">
        <f t="shared" si="14"/>
        <v>Personal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 t="str">
        <f t="shared" si="14"/>
        <v>Personal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 t="str">
        <f t="shared" si="14"/>
        <v>Personal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 t="str">
        <f t="shared" si="14"/>
        <v>Special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 t="str">
        <f t="shared" si="14"/>
        <v>Personal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 t="str">
        <f t="shared" si="14"/>
        <v>Personal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 t="str">
        <f t="shared" si="14"/>
        <v>Personal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 t="str">
        <f t="shared" si="14"/>
        <v>Personal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 t="str">
        <f t="shared" si="14"/>
        <v>Personal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 t="str">
        <f t="shared" si="14"/>
        <v>Personal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 t="str">
        <f t="shared" si="14"/>
        <v>Personal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 t="str">
        <f t="shared" si="14"/>
        <v>Corporate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 t="str">
        <f t="shared" si="14"/>
        <v>Personal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 t="str">
        <f t="shared" si="14"/>
        <v>Personal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 t="str">
        <f t="shared" si="14"/>
        <v>Personal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 t="str">
        <f t="shared" si="14"/>
        <v>Personal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 t="str">
        <f t="shared" si="14"/>
        <v>Personal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 t="str">
        <f t="shared" si="14"/>
        <v>Personal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 t="str">
        <f t="shared" si="14"/>
        <v>Personal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 t="str">
        <f t="shared" si="14"/>
        <v>Corporate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 t="str">
        <f t="shared" ref="M963:M1026" si="15">LEFT(I963,FIND(" ",I963)-1)</f>
        <v>Personal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 t="str">
        <f t="shared" si="15"/>
        <v>Corporate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 t="str">
        <f t="shared" si="15"/>
        <v>Personal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 t="str">
        <f t="shared" si="15"/>
        <v>Corporate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 t="str">
        <f t="shared" si="15"/>
        <v>Personal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 t="str">
        <f t="shared" si="15"/>
        <v>Personal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 t="str">
        <f t="shared" si="15"/>
        <v>Personal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 t="str">
        <f t="shared" si="15"/>
        <v>Corporate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 t="str">
        <f t="shared" si="15"/>
        <v>Personal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 t="str">
        <f t="shared" si="15"/>
        <v>Personal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 t="str">
        <f t="shared" si="15"/>
        <v>Personal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 t="str">
        <f t="shared" si="15"/>
        <v>Corporate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 t="str">
        <f t="shared" si="15"/>
        <v>Corporate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 t="str">
        <f t="shared" si="15"/>
        <v>Corporate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 t="str">
        <f t="shared" si="15"/>
        <v>Personal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 t="str">
        <f t="shared" si="15"/>
        <v>Personal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 t="str">
        <f t="shared" si="15"/>
        <v>Special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 t="str">
        <f t="shared" si="15"/>
        <v>Corporate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 t="str">
        <f t="shared" si="15"/>
        <v>Corporate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 t="str">
        <f t="shared" si="15"/>
        <v>Corporate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 t="str">
        <f t="shared" si="15"/>
        <v>Personal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 t="str">
        <f t="shared" si="15"/>
        <v>Personal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 t="str">
        <f t="shared" si="15"/>
        <v>Personal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 t="str">
        <f t="shared" si="15"/>
        <v>Personal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 t="str">
        <f t="shared" si="15"/>
        <v>Personal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 t="str">
        <f t="shared" si="15"/>
        <v>Personal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 t="str">
        <f t="shared" si="15"/>
        <v>Special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 t="str">
        <f t="shared" si="15"/>
        <v>Personal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 t="str">
        <f t="shared" si="15"/>
        <v>Corporate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 t="str">
        <f t="shared" si="15"/>
        <v>Personal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 t="str">
        <f t="shared" si="15"/>
        <v>Personal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 t="str">
        <f t="shared" si="15"/>
        <v>Personal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 t="str">
        <f t="shared" si="15"/>
        <v>Personal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 t="str">
        <f t="shared" si="15"/>
        <v>Personal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 t="str">
        <f t="shared" si="15"/>
        <v>Personal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 t="str">
        <f t="shared" si="15"/>
        <v>Personal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 t="str">
        <f t="shared" si="15"/>
        <v>Corporate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 t="str">
        <f t="shared" si="15"/>
        <v>Personal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 t="str">
        <f t="shared" si="15"/>
        <v>Corporate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 t="str">
        <f t="shared" si="15"/>
        <v>Personal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 t="str">
        <f t="shared" si="15"/>
        <v>Personal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 t="str">
        <f t="shared" si="15"/>
        <v>Personal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 t="str">
        <f t="shared" si="15"/>
        <v>Personal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 t="str">
        <f t="shared" si="15"/>
        <v>Personal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 t="str">
        <f t="shared" si="15"/>
        <v>Personal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 t="str">
        <f t="shared" si="15"/>
        <v>Personal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 t="str">
        <f t="shared" si="15"/>
        <v>Personal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 t="str">
        <f t="shared" si="15"/>
        <v>Special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 t="str">
        <f t="shared" si="15"/>
        <v>Corporate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 t="str">
        <f t="shared" si="15"/>
        <v>Corporate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 t="str">
        <f t="shared" si="15"/>
        <v>Personal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 t="str">
        <f t="shared" si="15"/>
        <v>Personal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 t="str">
        <f t="shared" si="15"/>
        <v>Special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 t="str">
        <f t="shared" si="15"/>
        <v>Personal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 t="str">
        <f t="shared" si="15"/>
        <v>Personal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 t="str">
        <f t="shared" si="15"/>
        <v>Personal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 t="str">
        <f t="shared" si="15"/>
        <v>Personal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 t="str">
        <f t="shared" si="15"/>
        <v>Corporate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 t="str">
        <f t="shared" si="15"/>
        <v>Personal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 t="str">
        <f t="shared" si="15"/>
        <v>Corporate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 t="str">
        <f t="shared" si="15"/>
        <v>Personal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 t="str">
        <f t="shared" si="15"/>
        <v>Personal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 t="str">
        <f t="shared" si="15"/>
        <v>Corporate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 t="str">
        <f t="shared" si="15"/>
        <v>Personal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 t="str">
        <f t="shared" ref="M1027:M1072" si="16">LEFT(I1027,FIND(" ",I1027)-1)</f>
        <v>Corporate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 t="str">
        <f t="shared" si="16"/>
        <v>Special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 t="str">
        <f t="shared" si="16"/>
        <v>Corporate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 t="str">
        <f t="shared" si="16"/>
        <v>Personal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 t="str">
        <f t="shared" si="16"/>
        <v>Personal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 t="str">
        <f t="shared" si="16"/>
        <v>Personal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 t="str">
        <f t="shared" si="16"/>
        <v>Personal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 t="str">
        <f t="shared" si="16"/>
        <v>Corporate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 t="str">
        <f t="shared" si="16"/>
        <v>Personal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 t="str">
        <f t="shared" si="16"/>
        <v>Personal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 t="str">
        <f t="shared" si="16"/>
        <v>Personal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 t="str">
        <f t="shared" si="16"/>
        <v>Personal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 t="str">
        <f t="shared" si="16"/>
        <v>Personal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 t="str">
        <f t="shared" si="16"/>
        <v>Personal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 t="str">
        <f t="shared" si="16"/>
        <v>Corporate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 t="str">
        <f t="shared" si="16"/>
        <v>Personal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 t="str">
        <f t="shared" si="16"/>
        <v>Corporate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 t="str">
        <f t="shared" si="16"/>
        <v>Personal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 t="str">
        <f t="shared" si="16"/>
        <v>Personal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 t="str">
        <f t="shared" si="16"/>
        <v>Personal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 t="str">
        <f t="shared" si="16"/>
        <v>Corporate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 t="str">
        <f t="shared" si="16"/>
        <v>Personal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 t="str">
        <f t="shared" si="16"/>
        <v>Personal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 t="str">
        <f t="shared" si="16"/>
        <v>Personal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 t="str">
        <f t="shared" si="16"/>
        <v>Personal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 t="str">
        <f t="shared" si="16"/>
        <v>Corporate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 t="str">
        <f t="shared" si="16"/>
        <v>Personal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 t="str">
        <f t="shared" si="16"/>
        <v>Corporate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 t="str">
        <f t="shared" si="16"/>
        <v>Personal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 t="str">
        <f t="shared" si="16"/>
        <v>Personal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 t="str">
        <f t="shared" si="16"/>
        <v>Personal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 t="str">
        <f t="shared" si="16"/>
        <v>Corporate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 t="str">
        <f t="shared" si="16"/>
        <v>Personal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 t="str">
        <f t="shared" si="16"/>
        <v>Personal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 t="str">
        <f t="shared" si="16"/>
        <v>Corporate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 t="str">
        <f t="shared" si="16"/>
        <v>Personal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 t="str">
        <f t="shared" si="16"/>
        <v>Personal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 t="str">
        <f t="shared" si="16"/>
        <v>Personal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 t="str">
        <f t="shared" si="16"/>
        <v>Personal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 t="str">
        <f t="shared" si="16"/>
        <v>Personal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 t="str">
        <f t="shared" si="16"/>
        <v>Personal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 t="str">
        <f t="shared" si="16"/>
        <v>Personal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 t="str">
        <f t="shared" si="16"/>
        <v>Personal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 t="str">
        <f t="shared" si="16"/>
        <v>Personal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 t="str">
        <f t="shared" si="16"/>
        <v>Special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N1072"/>
  <sheetViews>
    <sheetView zoomScale="80" zoomScaleNormal="80" workbookViewId="0">
      <selection activeCell="E7" sqref="E7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7.81640625" bestFit="1" customWidth="1"/>
    <col min="14" max="14" width="22.453125" bestFit="1" customWidth="1"/>
  </cols>
  <sheetData>
    <row r="1" spans="1:14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3" t="s">
        <v>9195</v>
      </c>
      <c r="N1" s="4"/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9">
        <f>IF(OR(J2="Two-Door Car",J2="Luxury Car",J2="Sports Car"),2,IF(OR(J2="Four-Door Car",J2="SUV",J2="Luxury SUV"),4,""))</f>
        <v>4</v>
      </c>
      <c r="N2" s="9"/>
    </row>
    <row r="3" spans="1:14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9">
        <f t="shared" ref="M3:M66" si="0">IF(OR(J3="Two-Door Car",J3="Luxury Car",J3="Sports Car"),2,IF(OR(J3="Four-Door Car",J3="SUV",J3="Luxury SUV"),4,""))</f>
        <v>4</v>
      </c>
      <c r="N3" s="9"/>
    </row>
    <row r="4" spans="1:14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9">
        <f t="shared" si="0"/>
        <v>2</v>
      </c>
      <c r="N4" s="9"/>
    </row>
    <row r="5" spans="1:14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9">
        <f t="shared" si="0"/>
        <v>4</v>
      </c>
      <c r="N5" s="9"/>
    </row>
    <row r="6" spans="1:14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9">
        <f t="shared" si="0"/>
        <v>4</v>
      </c>
      <c r="N6" s="9"/>
    </row>
    <row r="7" spans="1:14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9">
        <f t="shared" si="0"/>
        <v>2</v>
      </c>
      <c r="N7" s="9"/>
    </row>
    <row r="8" spans="1:14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9">
        <f t="shared" si="0"/>
        <v>4</v>
      </c>
      <c r="N8" s="9"/>
    </row>
    <row r="9" spans="1:14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9">
        <f t="shared" si="0"/>
        <v>4</v>
      </c>
      <c r="N9" s="9"/>
    </row>
    <row r="10" spans="1:14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9">
        <f t="shared" si="0"/>
        <v>4</v>
      </c>
      <c r="N10" s="9"/>
    </row>
    <row r="11" spans="1:14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9">
        <f t="shared" si="0"/>
        <v>4</v>
      </c>
      <c r="N11" s="9"/>
    </row>
    <row r="12" spans="1:14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9">
        <f t="shared" si="0"/>
        <v>4</v>
      </c>
      <c r="N12" s="9"/>
    </row>
    <row r="13" spans="1:14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9">
        <f t="shared" si="0"/>
        <v>4</v>
      </c>
      <c r="N13" s="9"/>
    </row>
    <row r="14" spans="1:14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9">
        <f t="shared" si="0"/>
        <v>4</v>
      </c>
      <c r="N14" s="9"/>
    </row>
    <row r="15" spans="1:14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9">
        <f t="shared" si="0"/>
        <v>4</v>
      </c>
      <c r="N15" s="9"/>
    </row>
    <row r="16" spans="1:14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9">
        <f t="shared" si="0"/>
        <v>4</v>
      </c>
      <c r="N16" s="9"/>
    </row>
    <row r="17" spans="1:14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9">
        <f t="shared" si="0"/>
        <v>4</v>
      </c>
      <c r="N17" s="9"/>
    </row>
    <row r="18" spans="1:14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9">
        <f t="shared" si="0"/>
        <v>2</v>
      </c>
      <c r="N18" s="9"/>
    </row>
    <row r="19" spans="1:14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9">
        <f t="shared" si="0"/>
        <v>4</v>
      </c>
      <c r="N19" s="9"/>
    </row>
    <row r="20" spans="1:14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9">
        <f t="shared" si="0"/>
        <v>4</v>
      </c>
      <c r="N20" s="9"/>
    </row>
    <row r="21" spans="1:14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9">
        <f t="shared" si="0"/>
        <v>4</v>
      </c>
      <c r="N21" s="9"/>
    </row>
    <row r="22" spans="1:14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9">
        <f t="shared" si="0"/>
        <v>2</v>
      </c>
      <c r="N22" s="9"/>
    </row>
    <row r="23" spans="1:14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9">
        <f t="shared" si="0"/>
        <v>2</v>
      </c>
      <c r="N23" s="9"/>
    </row>
    <row r="24" spans="1:14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9">
        <f t="shared" si="0"/>
        <v>4</v>
      </c>
      <c r="N24" s="9"/>
    </row>
    <row r="25" spans="1:14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9">
        <f t="shared" si="0"/>
        <v>4</v>
      </c>
      <c r="N25" s="9"/>
    </row>
    <row r="26" spans="1:14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9">
        <f t="shared" si="0"/>
        <v>4</v>
      </c>
      <c r="N26" s="9"/>
    </row>
    <row r="27" spans="1:14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9">
        <f t="shared" si="0"/>
        <v>4</v>
      </c>
      <c r="N27" s="9"/>
    </row>
    <row r="28" spans="1:14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9">
        <f t="shared" si="0"/>
        <v>4</v>
      </c>
      <c r="N28" s="9"/>
    </row>
    <row r="29" spans="1:14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9">
        <f t="shared" si="0"/>
        <v>4</v>
      </c>
      <c r="N29" s="9"/>
    </row>
    <row r="30" spans="1:14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9">
        <f t="shared" si="0"/>
        <v>4</v>
      </c>
      <c r="N30" s="9"/>
    </row>
    <row r="31" spans="1:14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9">
        <f t="shared" si="0"/>
        <v>4</v>
      </c>
      <c r="N31" s="9"/>
    </row>
    <row r="32" spans="1:14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9">
        <f t="shared" si="0"/>
        <v>4</v>
      </c>
      <c r="N32" s="9"/>
    </row>
    <row r="33" spans="1:14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9">
        <f t="shared" si="0"/>
        <v>4</v>
      </c>
      <c r="N33" s="9"/>
    </row>
    <row r="34" spans="1:14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9">
        <f t="shared" si="0"/>
        <v>4</v>
      </c>
      <c r="N34" s="9"/>
    </row>
    <row r="35" spans="1:14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9">
        <f t="shared" si="0"/>
        <v>4</v>
      </c>
      <c r="N35" s="9"/>
    </row>
    <row r="36" spans="1:14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9">
        <f t="shared" si="0"/>
        <v>4</v>
      </c>
      <c r="N36" s="9"/>
    </row>
    <row r="37" spans="1:14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9">
        <f t="shared" si="0"/>
        <v>4</v>
      </c>
      <c r="N37" s="9"/>
    </row>
    <row r="38" spans="1:14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9">
        <f t="shared" si="0"/>
        <v>4</v>
      </c>
      <c r="N38" s="9"/>
    </row>
    <row r="39" spans="1:14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9">
        <f t="shared" si="0"/>
        <v>4</v>
      </c>
      <c r="N39" s="9"/>
    </row>
    <row r="40" spans="1:14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9">
        <f t="shared" si="0"/>
        <v>2</v>
      </c>
      <c r="N40" s="9"/>
    </row>
    <row r="41" spans="1:14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9">
        <f t="shared" si="0"/>
        <v>4</v>
      </c>
      <c r="N41" s="9"/>
    </row>
    <row r="42" spans="1:14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9">
        <f t="shared" si="0"/>
        <v>2</v>
      </c>
      <c r="N42" s="9"/>
    </row>
    <row r="43" spans="1:14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9">
        <f t="shared" si="0"/>
        <v>2</v>
      </c>
      <c r="N43" s="9"/>
    </row>
    <row r="44" spans="1:14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9">
        <f t="shared" si="0"/>
        <v>4</v>
      </c>
      <c r="N44" s="9"/>
    </row>
    <row r="45" spans="1:14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9">
        <f t="shared" si="0"/>
        <v>2</v>
      </c>
      <c r="N45" s="9"/>
    </row>
    <row r="46" spans="1:14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9">
        <f t="shared" si="0"/>
        <v>4</v>
      </c>
      <c r="N46" s="9"/>
    </row>
    <row r="47" spans="1:14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9">
        <f t="shared" si="0"/>
        <v>4</v>
      </c>
      <c r="N47" s="9"/>
    </row>
    <row r="48" spans="1:14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9">
        <f t="shared" si="0"/>
        <v>4</v>
      </c>
      <c r="N48" s="9"/>
    </row>
    <row r="49" spans="1:14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9">
        <f t="shared" si="0"/>
        <v>2</v>
      </c>
      <c r="N49" s="9"/>
    </row>
    <row r="50" spans="1:14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9">
        <f t="shared" si="0"/>
        <v>4</v>
      </c>
      <c r="N50" s="9"/>
    </row>
    <row r="51" spans="1:14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9">
        <f t="shared" si="0"/>
        <v>4</v>
      </c>
      <c r="N51" s="9"/>
    </row>
    <row r="52" spans="1:14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9">
        <f t="shared" si="0"/>
        <v>4</v>
      </c>
      <c r="N52" s="9"/>
    </row>
    <row r="53" spans="1:14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9">
        <f t="shared" si="0"/>
        <v>4</v>
      </c>
      <c r="N53" s="9"/>
    </row>
    <row r="54" spans="1:14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9">
        <f t="shared" si="0"/>
        <v>4</v>
      </c>
      <c r="N54" s="9"/>
    </row>
    <row r="55" spans="1:14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9">
        <f t="shared" si="0"/>
        <v>2</v>
      </c>
      <c r="N55" s="9"/>
    </row>
    <row r="56" spans="1:14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9">
        <f t="shared" si="0"/>
        <v>4</v>
      </c>
      <c r="N56" s="9"/>
    </row>
    <row r="57" spans="1:14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9">
        <f t="shared" si="0"/>
        <v>4</v>
      </c>
      <c r="N57" s="9"/>
    </row>
    <row r="58" spans="1:14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9">
        <f t="shared" si="0"/>
        <v>4</v>
      </c>
      <c r="N58" s="9"/>
    </row>
    <row r="59" spans="1:14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9">
        <f t="shared" si="0"/>
        <v>4</v>
      </c>
      <c r="N59" s="9"/>
    </row>
    <row r="60" spans="1:14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9">
        <f t="shared" si="0"/>
        <v>4</v>
      </c>
      <c r="N60" s="9"/>
    </row>
    <row r="61" spans="1:14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9">
        <f t="shared" si="0"/>
        <v>4</v>
      </c>
      <c r="N61" s="9"/>
    </row>
    <row r="62" spans="1:14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9">
        <f t="shared" si="0"/>
        <v>4</v>
      </c>
      <c r="N62" s="9"/>
    </row>
    <row r="63" spans="1:14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9">
        <f t="shared" si="0"/>
        <v>2</v>
      </c>
      <c r="N63" s="9"/>
    </row>
    <row r="64" spans="1:14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9">
        <f t="shared" si="0"/>
        <v>2</v>
      </c>
      <c r="N64" s="9"/>
    </row>
    <row r="65" spans="1:14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9">
        <f t="shared" si="0"/>
        <v>4</v>
      </c>
      <c r="N65" s="9"/>
    </row>
    <row r="66" spans="1:14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9">
        <f t="shared" si="0"/>
        <v>4</v>
      </c>
      <c r="N66" s="9"/>
    </row>
    <row r="67" spans="1:14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9">
        <f t="shared" ref="M67:M130" si="1">IF(OR(J67="Two-Door Car",J67="Luxury Car",J67="Sports Car"),2,IF(OR(J67="Four-Door Car",J67="SUV",J67="Luxury SUV"),4,""))</f>
        <v>4</v>
      </c>
      <c r="N67" s="9"/>
    </row>
    <row r="68" spans="1:14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9">
        <f t="shared" si="1"/>
        <v>4</v>
      </c>
      <c r="N68" s="9"/>
    </row>
    <row r="69" spans="1:14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9">
        <f t="shared" si="1"/>
        <v>2</v>
      </c>
      <c r="N69" s="9"/>
    </row>
    <row r="70" spans="1:14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9">
        <f t="shared" si="1"/>
        <v>2</v>
      </c>
      <c r="N70" s="9"/>
    </row>
    <row r="71" spans="1:14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9">
        <f t="shared" si="1"/>
        <v>4</v>
      </c>
      <c r="N71" s="9"/>
    </row>
    <row r="72" spans="1:14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9">
        <f t="shared" si="1"/>
        <v>4</v>
      </c>
      <c r="N72" s="9"/>
    </row>
    <row r="73" spans="1:14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9">
        <f t="shared" si="1"/>
        <v>2</v>
      </c>
      <c r="N73" s="9"/>
    </row>
    <row r="74" spans="1:14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9">
        <f t="shared" si="1"/>
        <v>4</v>
      </c>
      <c r="N74" s="9"/>
    </row>
    <row r="75" spans="1:14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9">
        <f t="shared" si="1"/>
        <v>2</v>
      </c>
      <c r="N75" s="9"/>
    </row>
    <row r="76" spans="1:14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9">
        <f t="shared" si="1"/>
        <v>2</v>
      </c>
      <c r="N76" s="9"/>
    </row>
    <row r="77" spans="1:14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9">
        <f t="shared" si="1"/>
        <v>4</v>
      </c>
      <c r="N77" s="9"/>
    </row>
    <row r="78" spans="1:14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9">
        <f t="shared" si="1"/>
        <v>4</v>
      </c>
      <c r="N78" s="9"/>
    </row>
    <row r="79" spans="1:14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9">
        <f t="shared" si="1"/>
        <v>4</v>
      </c>
      <c r="N79" s="9"/>
    </row>
    <row r="80" spans="1:14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9">
        <f t="shared" si="1"/>
        <v>4</v>
      </c>
      <c r="N80" s="9"/>
    </row>
    <row r="81" spans="1:14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9">
        <f t="shared" si="1"/>
        <v>2</v>
      </c>
      <c r="N81" s="9"/>
    </row>
    <row r="82" spans="1:14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9">
        <f t="shared" si="1"/>
        <v>2</v>
      </c>
      <c r="N82" s="9"/>
    </row>
    <row r="83" spans="1:14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9">
        <f t="shared" si="1"/>
        <v>4</v>
      </c>
      <c r="N83" s="9"/>
    </row>
    <row r="84" spans="1:14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9">
        <f t="shared" si="1"/>
        <v>4</v>
      </c>
      <c r="N84" s="9"/>
    </row>
    <row r="85" spans="1:14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9">
        <f t="shared" si="1"/>
        <v>4</v>
      </c>
      <c r="N85" s="9"/>
    </row>
    <row r="86" spans="1:14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9">
        <f t="shared" si="1"/>
        <v>4</v>
      </c>
      <c r="N86" s="9"/>
    </row>
    <row r="87" spans="1:14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9">
        <f t="shared" si="1"/>
        <v>4</v>
      </c>
      <c r="N87" s="9"/>
    </row>
    <row r="88" spans="1:14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9">
        <f t="shared" si="1"/>
        <v>4</v>
      </c>
      <c r="N88" s="9"/>
    </row>
    <row r="89" spans="1:14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9">
        <f t="shared" si="1"/>
        <v>4</v>
      </c>
      <c r="N89" s="9"/>
    </row>
    <row r="90" spans="1:14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9">
        <f t="shared" si="1"/>
        <v>4</v>
      </c>
      <c r="N90" s="9"/>
    </row>
    <row r="91" spans="1:14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9">
        <f t="shared" si="1"/>
        <v>4</v>
      </c>
      <c r="N91" s="9"/>
    </row>
    <row r="92" spans="1:14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9">
        <f t="shared" si="1"/>
        <v>2</v>
      </c>
      <c r="N92" s="9"/>
    </row>
    <row r="93" spans="1:14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9">
        <f t="shared" si="1"/>
        <v>2</v>
      </c>
      <c r="N93" s="9"/>
    </row>
    <row r="94" spans="1:14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9">
        <f t="shared" si="1"/>
        <v>4</v>
      </c>
      <c r="N94" s="9"/>
    </row>
    <row r="95" spans="1:14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9">
        <f t="shared" si="1"/>
        <v>2</v>
      </c>
      <c r="N95" s="9"/>
    </row>
    <row r="96" spans="1:14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9">
        <f t="shared" si="1"/>
        <v>4</v>
      </c>
      <c r="N96" s="9"/>
    </row>
    <row r="97" spans="1:14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9">
        <f t="shared" si="1"/>
        <v>4</v>
      </c>
      <c r="N97" s="9"/>
    </row>
    <row r="98" spans="1:14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9">
        <f t="shared" si="1"/>
        <v>4</v>
      </c>
      <c r="N98" s="9"/>
    </row>
    <row r="99" spans="1:14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9">
        <f t="shared" si="1"/>
        <v>4</v>
      </c>
      <c r="N99" s="9"/>
    </row>
    <row r="100" spans="1:14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9">
        <f t="shared" si="1"/>
        <v>4</v>
      </c>
      <c r="N100" s="9"/>
    </row>
    <row r="101" spans="1:14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9">
        <f t="shared" si="1"/>
        <v>2</v>
      </c>
      <c r="N101" s="9"/>
    </row>
    <row r="102" spans="1:14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9">
        <f t="shared" si="1"/>
        <v>4</v>
      </c>
      <c r="N102" s="9"/>
    </row>
    <row r="103" spans="1:14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9">
        <f t="shared" si="1"/>
        <v>4</v>
      </c>
      <c r="N103" s="9"/>
    </row>
    <row r="104" spans="1:14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9">
        <f t="shared" si="1"/>
        <v>2</v>
      </c>
      <c r="N104" s="9"/>
    </row>
    <row r="105" spans="1:14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9">
        <f t="shared" si="1"/>
        <v>4</v>
      </c>
      <c r="N105" s="9"/>
    </row>
    <row r="106" spans="1:14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9">
        <f t="shared" si="1"/>
        <v>4</v>
      </c>
      <c r="N106" s="9"/>
    </row>
    <row r="107" spans="1:14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9">
        <f t="shared" si="1"/>
        <v>4</v>
      </c>
      <c r="N107" s="9"/>
    </row>
    <row r="108" spans="1:14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9">
        <f t="shared" si="1"/>
        <v>4</v>
      </c>
      <c r="N108" s="9"/>
    </row>
    <row r="109" spans="1:14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9">
        <f t="shared" si="1"/>
        <v>4</v>
      </c>
      <c r="N109" s="9"/>
    </row>
    <row r="110" spans="1:14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9">
        <f t="shared" si="1"/>
        <v>2</v>
      </c>
      <c r="N110" s="9"/>
    </row>
    <row r="111" spans="1:14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9">
        <f t="shared" si="1"/>
        <v>4</v>
      </c>
      <c r="N111" s="9"/>
    </row>
    <row r="112" spans="1:14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9">
        <f t="shared" si="1"/>
        <v>4</v>
      </c>
      <c r="N112" s="9"/>
    </row>
    <row r="113" spans="1:14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9">
        <f t="shared" si="1"/>
        <v>2</v>
      </c>
      <c r="N113" s="9"/>
    </row>
    <row r="114" spans="1:14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9">
        <f t="shared" si="1"/>
        <v>4</v>
      </c>
      <c r="N114" s="9"/>
    </row>
    <row r="115" spans="1:14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9">
        <f t="shared" si="1"/>
        <v>4</v>
      </c>
      <c r="N115" s="9"/>
    </row>
    <row r="116" spans="1:14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9">
        <f t="shared" si="1"/>
        <v>4</v>
      </c>
      <c r="N116" s="9"/>
    </row>
    <row r="117" spans="1:14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9">
        <f t="shared" si="1"/>
        <v>4</v>
      </c>
      <c r="N117" s="9"/>
    </row>
    <row r="118" spans="1:14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9">
        <f t="shared" si="1"/>
        <v>4</v>
      </c>
      <c r="N118" s="9"/>
    </row>
    <row r="119" spans="1:14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9">
        <f t="shared" si="1"/>
        <v>2</v>
      </c>
      <c r="N119" s="9"/>
    </row>
    <row r="120" spans="1:14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9">
        <f t="shared" si="1"/>
        <v>2</v>
      </c>
      <c r="N120" s="9"/>
    </row>
    <row r="121" spans="1:14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9">
        <f t="shared" si="1"/>
        <v>4</v>
      </c>
      <c r="N121" s="9"/>
    </row>
    <row r="122" spans="1:14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9">
        <f t="shared" si="1"/>
        <v>4</v>
      </c>
      <c r="N122" s="9"/>
    </row>
    <row r="123" spans="1:14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9">
        <f t="shared" si="1"/>
        <v>2</v>
      </c>
      <c r="N123" s="9"/>
    </row>
    <row r="124" spans="1:14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9">
        <f t="shared" si="1"/>
        <v>2</v>
      </c>
      <c r="N124" s="9"/>
    </row>
    <row r="125" spans="1:14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9">
        <f t="shared" si="1"/>
        <v>4</v>
      </c>
      <c r="N125" s="9"/>
    </row>
    <row r="126" spans="1:14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9">
        <f t="shared" si="1"/>
        <v>4</v>
      </c>
      <c r="N126" s="9"/>
    </row>
    <row r="127" spans="1:14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9">
        <f t="shared" si="1"/>
        <v>4</v>
      </c>
      <c r="N127" s="9"/>
    </row>
    <row r="128" spans="1:14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9">
        <f t="shared" si="1"/>
        <v>4</v>
      </c>
      <c r="N128" s="9"/>
    </row>
    <row r="129" spans="1:14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9">
        <f t="shared" si="1"/>
        <v>4</v>
      </c>
      <c r="N129" s="9"/>
    </row>
    <row r="130" spans="1:14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9">
        <f t="shared" si="1"/>
        <v>4</v>
      </c>
      <c r="N130" s="9"/>
    </row>
    <row r="131" spans="1:14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9">
        <f t="shared" ref="M131:M194" si="2">IF(OR(J131="Two-Door Car",J131="Luxury Car",J131="Sports Car"),2,IF(OR(J131="Four-Door Car",J131="SUV",J131="Luxury SUV"),4,""))</f>
        <v>2</v>
      </c>
      <c r="N131" s="9"/>
    </row>
    <row r="132" spans="1:14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9">
        <f t="shared" si="2"/>
        <v>2</v>
      </c>
      <c r="N132" s="9"/>
    </row>
    <row r="133" spans="1:14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9">
        <f t="shared" si="2"/>
        <v>4</v>
      </c>
      <c r="N133" s="9"/>
    </row>
    <row r="134" spans="1:14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9">
        <f t="shared" si="2"/>
        <v>4</v>
      </c>
      <c r="N134" s="9"/>
    </row>
    <row r="135" spans="1:14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9">
        <f t="shared" si="2"/>
        <v>4</v>
      </c>
      <c r="N135" s="9"/>
    </row>
    <row r="136" spans="1:14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9">
        <f t="shared" si="2"/>
        <v>4</v>
      </c>
      <c r="N136" s="9"/>
    </row>
    <row r="137" spans="1:14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9">
        <f t="shared" si="2"/>
        <v>4</v>
      </c>
      <c r="N137" s="9"/>
    </row>
    <row r="138" spans="1:14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9">
        <f t="shared" si="2"/>
        <v>2</v>
      </c>
      <c r="N138" s="9"/>
    </row>
    <row r="139" spans="1:14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9">
        <f t="shared" si="2"/>
        <v>4</v>
      </c>
      <c r="N139" s="9"/>
    </row>
    <row r="140" spans="1:14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9">
        <f t="shared" si="2"/>
        <v>4</v>
      </c>
      <c r="N140" s="9"/>
    </row>
    <row r="141" spans="1:14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9">
        <f t="shared" si="2"/>
        <v>4</v>
      </c>
      <c r="N141" s="9"/>
    </row>
    <row r="142" spans="1:14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9">
        <f t="shared" si="2"/>
        <v>2</v>
      </c>
      <c r="N142" s="9"/>
    </row>
    <row r="143" spans="1:14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9">
        <f t="shared" si="2"/>
        <v>4</v>
      </c>
      <c r="N143" s="9"/>
    </row>
    <row r="144" spans="1:14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9">
        <f t="shared" si="2"/>
        <v>2</v>
      </c>
      <c r="N144" s="9"/>
    </row>
    <row r="145" spans="1:14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9">
        <f t="shared" si="2"/>
        <v>4</v>
      </c>
      <c r="N145" s="9"/>
    </row>
    <row r="146" spans="1:14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9">
        <f t="shared" si="2"/>
        <v>4</v>
      </c>
      <c r="N146" s="9"/>
    </row>
    <row r="147" spans="1:14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9">
        <f t="shared" si="2"/>
        <v>4</v>
      </c>
      <c r="N147" s="9"/>
    </row>
    <row r="148" spans="1:14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9">
        <f t="shared" si="2"/>
        <v>4</v>
      </c>
      <c r="N148" s="9"/>
    </row>
    <row r="149" spans="1:14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9">
        <f t="shared" si="2"/>
        <v>2</v>
      </c>
      <c r="N149" s="9"/>
    </row>
    <row r="150" spans="1:14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9">
        <f t="shared" si="2"/>
        <v>4</v>
      </c>
      <c r="N150" s="9"/>
    </row>
    <row r="151" spans="1:14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9">
        <f t="shared" si="2"/>
        <v>4</v>
      </c>
      <c r="N151" s="9"/>
    </row>
    <row r="152" spans="1:14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9">
        <f t="shared" si="2"/>
        <v>4</v>
      </c>
      <c r="N152" s="9"/>
    </row>
    <row r="153" spans="1:14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9">
        <f t="shared" si="2"/>
        <v>4</v>
      </c>
      <c r="N153" s="9"/>
    </row>
    <row r="154" spans="1:14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9">
        <f t="shared" si="2"/>
        <v>4</v>
      </c>
      <c r="N154" s="9"/>
    </row>
    <row r="155" spans="1:14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9">
        <f t="shared" si="2"/>
        <v>4</v>
      </c>
      <c r="N155" s="9"/>
    </row>
    <row r="156" spans="1:14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9">
        <f t="shared" si="2"/>
        <v>4</v>
      </c>
      <c r="N156" s="9"/>
    </row>
    <row r="157" spans="1:14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9">
        <f t="shared" si="2"/>
        <v>4</v>
      </c>
      <c r="N157" s="9"/>
    </row>
    <row r="158" spans="1:14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9">
        <f t="shared" si="2"/>
        <v>4</v>
      </c>
      <c r="N158" s="9"/>
    </row>
    <row r="159" spans="1:14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9">
        <f t="shared" si="2"/>
        <v>4</v>
      </c>
      <c r="N159" s="9"/>
    </row>
    <row r="160" spans="1:14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9">
        <f t="shared" si="2"/>
        <v>2</v>
      </c>
      <c r="N160" s="9"/>
    </row>
    <row r="161" spans="1:14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9">
        <f t="shared" si="2"/>
        <v>2</v>
      </c>
      <c r="N161" s="9"/>
    </row>
    <row r="162" spans="1:14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9">
        <f t="shared" si="2"/>
        <v>2</v>
      </c>
      <c r="N162" s="9"/>
    </row>
    <row r="163" spans="1:14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9">
        <f t="shared" si="2"/>
        <v>4</v>
      </c>
      <c r="N163" s="9"/>
    </row>
    <row r="164" spans="1:14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9">
        <f t="shared" si="2"/>
        <v>4</v>
      </c>
      <c r="N164" s="9"/>
    </row>
    <row r="165" spans="1:14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9">
        <f t="shared" si="2"/>
        <v>2</v>
      </c>
      <c r="N165" s="9"/>
    </row>
    <row r="166" spans="1:14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9">
        <f t="shared" si="2"/>
        <v>4</v>
      </c>
      <c r="N166" s="9"/>
    </row>
    <row r="167" spans="1:14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9">
        <f t="shared" si="2"/>
        <v>4</v>
      </c>
      <c r="N167" s="9"/>
    </row>
    <row r="168" spans="1:14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9">
        <f t="shared" si="2"/>
        <v>4</v>
      </c>
      <c r="N168" s="9"/>
    </row>
    <row r="169" spans="1:14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9">
        <f t="shared" si="2"/>
        <v>4</v>
      </c>
      <c r="N169" s="9"/>
    </row>
    <row r="170" spans="1:14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9">
        <f t="shared" si="2"/>
        <v>4</v>
      </c>
      <c r="N170" s="9"/>
    </row>
    <row r="171" spans="1:14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9">
        <f t="shared" si="2"/>
        <v>4</v>
      </c>
      <c r="N171" s="9"/>
    </row>
    <row r="172" spans="1:14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9">
        <f t="shared" si="2"/>
        <v>4</v>
      </c>
      <c r="N172" s="9"/>
    </row>
    <row r="173" spans="1:14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9">
        <f t="shared" si="2"/>
        <v>4</v>
      </c>
      <c r="N173" s="9"/>
    </row>
    <row r="174" spans="1:14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9">
        <f t="shared" si="2"/>
        <v>4</v>
      </c>
      <c r="N174" s="9"/>
    </row>
    <row r="175" spans="1:14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9">
        <f t="shared" si="2"/>
        <v>4</v>
      </c>
      <c r="N175" s="9"/>
    </row>
    <row r="176" spans="1:14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9">
        <f t="shared" si="2"/>
        <v>4</v>
      </c>
      <c r="N176" s="9"/>
    </row>
    <row r="177" spans="1:14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9">
        <f t="shared" si="2"/>
        <v>2</v>
      </c>
      <c r="N177" s="9"/>
    </row>
    <row r="178" spans="1:14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9">
        <f t="shared" si="2"/>
        <v>4</v>
      </c>
      <c r="N178" s="9"/>
    </row>
    <row r="179" spans="1:14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9">
        <f t="shared" si="2"/>
        <v>2</v>
      </c>
      <c r="N179" s="9"/>
    </row>
    <row r="180" spans="1:14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9">
        <f t="shared" si="2"/>
        <v>4</v>
      </c>
      <c r="N180" s="9"/>
    </row>
    <row r="181" spans="1:14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9">
        <f t="shared" si="2"/>
        <v>2</v>
      </c>
      <c r="N181" s="9"/>
    </row>
    <row r="182" spans="1:14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9">
        <f t="shared" si="2"/>
        <v>4</v>
      </c>
      <c r="N182" s="9"/>
    </row>
    <row r="183" spans="1:14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9">
        <f t="shared" si="2"/>
        <v>2</v>
      </c>
      <c r="N183" s="9"/>
    </row>
    <row r="184" spans="1:14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9">
        <f t="shared" si="2"/>
        <v>4</v>
      </c>
      <c r="N184" s="9"/>
    </row>
    <row r="185" spans="1:14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9">
        <f t="shared" si="2"/>
        <v>4</v>
      </c>
      <c r="N185" s="9"/>
    </row>
    <row r="186" spans="1:14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9">
        <f t="shared" si="2"/>
        <v>4</v>
      </c>
      <c r="N186" s="9"/>
    </row>
    <row r="187" spans="1:14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9">
        <f t="shared" si="2"/>
        <v>4</v>
      </c>
      <c r="N187" s="9"/>
    </row>
    <row r="188" spans="1:14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9">
        <f t="shared" si="2"/>
        <v>4</v>
      </c>
      <c r="N188" s="9"/>
    </row>
    <row r="189" spans="1:14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9">
        <f t="shared" si="2"/>
        <v>4</v>
      </c>
      <c r="N189" s="9"/>
    </row>
    <row r="190" spans="1:14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9">
        <f t="shared" si="2"/>
        <v>4</v>
      </c>
      <c r="N190" s="9"/>
    </row>
    <row r="191" spans="1:14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9">
        <f t="shared" si="2"/>
        <v>4</v>
      </c>
      <c r="N191" s="9"/>
    </row>
    <row r="192" spans="1:14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9">
        <f t="shared" si="2"/>
        <v>4</v>
      </c>
      <c r="N192" s="9"/>
    </row>
    <row r="193" spans="1:14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9">
        <f t="shared" si="2"/>
        <v>2</v>
      </c>
      <c r="N193" s="9"/>
    </row>
    <row r="194" spans="1:14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9">
        <f t="shared" si="2"/>
        <v>2</v>
      </c>
      <c r="N194" s="9"/>
    </row>
    <row r="195" spans="1:14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9">
        <f t="shared" ref="M195:M258" si="3">IF(OR(J195="Two-Door Car",J195="Luxury Car",J195="Sports Car"),2,IF(OR(J195="Four-Door Car",J195="SUV",J195="Luxury SUV"),4,""))</f>
        <v>2</v>
      </c>
      <c r="N195" s="9"/>
    </row>
    <row r="196" spans="1:14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9">
        <f t="shared" si="3"/>
        <v>4</v>
      </c>
      <c r="N196" s="9"/>
    </row>
    <row r="197" spans="1:14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9">
        <f t="shared" si="3"/>
        <v>4</v>
      </c>
      <c r="N197" s="9"/>
    </row>
    <row r="198" spans="1:14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9">
        <f t="shared" si="3"/>
        <v>4</v>
      </c>
      <c r="N198" s="9"/>
    </row>
    <row r="199" spans="1:14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9">
        <f t="shared" si="3"/>
        <v>4</v>
      </c>
      <c r="N199" s="9"/>
    </row>
    <row r="200" spans="1:14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9">
        <f t="shared" si="3"/>
        <v>2</v>
      </c>
      <c r="N200" s="9"/>
    </row>
    <row r="201" spans="1:14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9">
        <f t="shared" si="3"/>
        <v>4</v>
      </c>
      <c r="N201" s="9"/>
    </row>
    <row r="202" spans="1:14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9">
        <f t="shared" si="3"/>
        <v>4</v>
      </c>
      <c r="N202" s="9"/>
    </row>
    <row r="203" spans="1:14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9">
        <f t="shared" si="3"/>
        <v>4</v>
      </c>
      <c r="N203" s="9"/>
    </row>
    <row r="204" spans="1:14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9">
        <f t="shared" si="3"/>
        <v>4</v>
      </c>
      <c r="N204" s="9"/>
    </row>
    <row r="205" spans="1:14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9">
        <f t="shared" si="3"/>
        <v>4</v>
      </c>
      <c r="N205" s="9"/>
    </row>
    <row r="206" spans="1:14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9">
        <f t="shared" si="3"/>
        <v>4</v>
      </c>
      <c r="N206" s="9"/>
    </row>
    <row r="207" spans="1:14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9">
        <f t="shared" si="3"/>
        <v>4</v>
      </c>
      <c r="N207" s="9"/>
    </row>
    <row r="208" spans="1:14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9">
        <f t="shared" si="3"/>
        <v>4</v>
      </c>
      <c r="N208" s="9"/>
    </row>
    <row r="209" spans="1:14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9">
        <f t="shared" si="3"/>
        <v>4</v>
      </c>
      <c r="N209" s="9"/>
    </row>
    <row r="210" spans="1:14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9">
        <f t="shared" si="3"/>
        <v>4</v>
      </c>
      <c r="N210" s="9"/>
    </row>
    <row r="211" spans="1:14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9">
        <f t="shared" si="3"/>
        <v>4</v>
      </c>
      <c r="N211" s="9"/>
    </row>
    <row r="212" spans="1:14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9">
        <f t="shared" si="3"/>
        <v>2</v>
      </c>
      <c r="N212" s="9"/>
    </row>
    <row r="213" spans="1:14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9">
        <f t="shared" si="3"/>
        <v>4</v>
      </c>
      <c r="N213" s="9"/>
    </row>
    <row r="214" spans="1:14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9">
        <f t="shared" si="3"/>
        <v>2</v>
      </c>
      <c r="N214" s="9"/>
    </row>
    <row r="215" spans="1:14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9">
        <f t="shared" si="3"/>
        <v>4</v>
      </c>
      <c r="N215" s="9"/>
    </row>
    <row r="216" spans="1:14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9">
        <f t="shared" si="3"/>
        <v>4</v>
      </c>
      <c r="N216" s="9"/>
    </row>
    <row r="217" spans="1:14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9">
        <f t="shared" si="3"/>
        <v>4</v>
      </c>
      <c r="N217" s="9"/>
    </row>
    <row r="218" spans="1:14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9">
        <f t="shared" si="3"/>
        <v>2</v>
      </c>
      <c r="N218" s="9"/>
    </row>
    <row r="219" spans="1:14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9">
        <f t="shared" si="3"/>
        <v>2</v>
      </c>
      <c r="N219" s="9"/>
    </row>
    <row r="220" spans="1:14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9">
        <f t="shared" si="3"/>
        <v>2</v>
      </c>
      <c r="N220" s="9"/>
    </row>
    <row r="221" spans="1:14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9">
        <f t="shared" si="3"/>
        <v>4</v>
      </c>
      <c r="N221" s="9"/>
    </row>
    <row r="222" spans="1:14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9">
        <f t="shared" si="3"/>
        <v>4</v>
      </c>
      <c r="N222" s="9"/>
    </row>
    <row r="223" spans="1:14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9">
        <f t="shared" si="3"/>
        <v>4</v>
      </c>
      <c r="N223" s="9"/>
    </row>
    <row r="224" spans="1:14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9">
        <f t="shared" si="3"/>
        <v>4</v>
      </c>
      <c r="N224" s="9"/>
    </row>
    <row r="225" spans="1:14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9">
        <f t="shared" si="3"/>
        <v>2</v>
      </c>
      <c r="N225" s="9"/>
    </row>
    <row r="226" spans="1:14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9">
        <f t="shared" si="3"/>
        <v>4</v>
      </c>
      <c r="N226" s="9"/>
    </row>
    <row r="227" spans="1:14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9">
        <f t="shared" si="3"/>
        <v>4</v>
      </c>
      <c r="N227" s="9"/>
    </row>
    <row r="228" spans="1:14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9">
        <f t="shared" si="3"/>
        <v>2</v>
      </c>
      <c r="N228" s="9"/>
    </row>
    <row r="229" spans="1:14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9">
        <f t="shared" si="3"/>
        <v>4</v>
      </c>
      <c r="N229" s="9"/>
    </row>
    <row r="230" spans="1:14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9">
        <f t="shared" si="3"/>
        <v>4</v>
      </c>
      <c r="N230" s="9"/>
    </row>
    <row r="231" spans="1:14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9">
        <f t="shared" si="3"/>
        <v>4</v>
      </c>
      <c r="N231" s="9"/>
    </row>
    <row r="232" spans="1:14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9">
        <f t="shared" si="3"/>
        <v>4</v>
      </c>
      <c r="N232" s="9"/>
    </row>
    <row r="233" spans="1:14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9">
        <f t="shared" si="3"/>
        <v>2</v>
      </c>
      <c r="N233" s="9"/>
    </row>
    <row r="234" spans="1:14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9">
        <f t="shared" si="3"/>
        <v>4</v>
      </c>
      <c r="N234" s="9"/>
    </row>
    <row r="235" spans="1:14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9">
        <f t="shared" si="3"/>
        <v>4</v>
      </c>
      <c r="N235" s="9"/>
    </row>
    <row r="236" spans="1:14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9">
        <f t="shared" si="3"/>
        <v>2</v>
      </c>
      <c r="N236" s="9"/>
    </row>
    <row r="237" spans="1:14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9">
        <f t="shared" si="3"/>
        <v>2</v>
      </c>
      <c r="N237" s="9"/>
    </row>
    <row r="238" spans="1:14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9">
        <f t="shared" si="3"/>
        <v>4</v>
      </c>
      <c r="N238" s="9"/>
    </row>
    <row r="239" spans="1:14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9">
        <f t="shared" si="3"/>
        <v>4</v>
      </c>
      <c r="N239" s="9"/>
    </row>
    <row r="240" spans="1:14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9">
        <f t="shared" si="3"/>
        <v>4</v>
      </c>
      <c r="N240" s="9"/>
    </row>
    <row r="241" spans="1:14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9">
        <f t="shared" si="3"/>
        <v>4</v>
      </c>
      <c r="N241" s="9"/>
    </row>
    <row r="242" spans="1:14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9">
        <f t="shared" si="3"/>
        <v>2</v>
      </c>
      <c r="N242" s="9"/>
    </row>
    <row r="243" spans="1:14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9">
        <f t="shared" si="3"/>
        <v>4</v>
      </c>
      <c r="N243" s="9"/>
    </row>
    <row r="244" spans="1:14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9">
        <f t="shared" si="3"/>
        <v>4</v>
      </c>
      <c r="N244" s="9"/>
    </row>
    <row r="245" spans="1:14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9">
        <f t="shared" si="3"/>
        <v>2</v>
      </c>
      <c r="N245" s="9"/>
    </row>
    <row r="246" spans="1:14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9">
        <f t="shared" si="3"/>
        <v>2</v>
      </c>
      <c r="N246" s="9"/>
    </row>
    <row r="247" spans="1:14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9">
        <f t="shared" si="3"/>
        <v>2</v>
      </c>
      <c r="N247" s="9"/>
    </row>
    <row r="248" spans="1:14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9">
        <f t="shared" si="3"/>
        <v>4</v>
      </c>
      <c r="N248" s="9"/>
    </row>
    <row r="249" spans="1:14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9">
        <f t="shared" si="3"/>
        <v>4</v>
      </c>
      <c r="N249" s="9"/>
    </row>
    <row r="250" spans="1:14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9">
        <f t="shared" si="3"/>
        <v>4</v>
      </c>
      <c r="N250" s="9"/>
    </row>
    <row r="251" spans="1:14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9">
        <f t="shared" si="3"/>
        <v>4</v>
      </c>
      <c r="N251" s="9"/>
    </row>
    <row r="252" spans="1:14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9">
        <f t="shared" si="3"/>
        <v>2</v>
      </c>
      <c r="N252" s="9"/>
    </row>
    <row r="253" spans="1:14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9">
        <f t="shared" si="3"/>
        <v>2</v>
      </c>
      <c r="N253" s="9"/>
    </row>
    <row r="254" spans="1:14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9">
        <f t="shared" si="3"/>
        <v>4</v>
      </c>
      <c r="N254" s="9"/>
    </row>
    <row r="255" spans="1:14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9">
        <f t="shared" si="3"/>
        <v>4</v>
      </c>
      <c r="N255" s="9"/>
    </row>
    <row r="256" spans="1:14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9">
        <f t="shared" si="3"/>
        <v>4</v>
      </c>
      <c r="N256" s="9"/>
    </row>
    <row r="257" spans="1:14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9">
        <f t="shared" si="3"/>
        <v>4</v>
      </c>
      <c r="N257" s="9"/>
    </row>
    <row r="258" spans="1:14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9">
        <f t="shared" si="3"/>
        <v>4</v>
      </c>
      <c r="N258" s="9"/>
    </row>
    <row r="259" spans="1:14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9">
        <f t="shared" ref="M259:M322" si="4">IF(OR(J259="Two-Door Car",J259="Luxury Car",J259="Sports Car"),2,IF(OR(J259="Four-Door Car",J259="SUV",J259="Luxury SUV"),4,""))</f>
        <v>2</v>
      </c>
      <c r="N259" s="9"/>
    </row>
    <row r="260" spans="1:14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9">
        <f t="shared" si="4"/>
        <v>4</v>
      </c>
      <c r="N260" s="9"/>
    </row>
    <row r="261" spans="1:14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9">
        <f t="shared" si="4"/>
        <v>4</v>
      </c>
      <c r="N261" s="9"/>
    </row>
    <row r="262" spans="1:14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9">
        <f t="shared" si="4"/>
        <v>4</v>
      </c>
      <c r="N262" s="9"/>
    </row>
    <row r="263" spans="1:14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9">
        <f t="shared" si="4"/>
        <v>4</v>
      </c>
      <c r="N263" s="9"/>
    </row>
    <row r="264" spans="1:14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9">
        <f t="shared" si="4"/>
        <v>4</v>
      </c>
      <c r="N264" s="9"/>
    </row>
    <row r="265" spans="1:14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9">
        <f t="shared" si="4"/>
        <v>4</v>
      </c>
      <c r="N265" s="9"/>
    </row>
    <row r="266" spans="1:14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9">
        <f t="shared" si="4"/>
        <v>4</v>
      </c>
      <c r="N266" s="9"/>
    </row>
    <row r="267" spans="1:14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9">
        <f t="shared" si="4"/>
        <v>4</v>
      </c>
      <c r="N267" s="9"/>
    </row>
    <row r="268" spans="1:14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9">
        <f t="shared" si="4"/>
        <v>4</v>
      </c>
      <c r="N268" s="9"/>
    </row>
    <row r="269" spans="1:14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9">
        <f t="shared" si="4"/>
        <v>2</v>
      </c>
      <c r="N269" s="9"/>
    </row>
    <row r="270" spans="1:14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9">
        <f t="shared" si="4"/>
        <v>4</v>
      </c>
      <c r="N270" s="9"/>
    </row>
    <row r="271" spans="1:14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9">
        <f t="shared" si="4"/>
        <v>2</v>
      </c>
      <c r="N271" s="9"/>
    </row>
    <row r="272" spans="1:14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9">
        <f t="shared" si="4"/>
        <v>2</v>
      </c>
      <c r="N272" s="9"/>
    </row>
    <row r="273" spans="1:14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9">
        <f t="shared" si="4"/>
        <v>4</v>
      </c>
      <c r="N273" s="9"/>
    </row>
    <row r="274" spans="1:14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9">
        <f t="shared" si="4"/>
        <v>4</v>
      </c>
      <c r="N274" s="9"/>
    </row>
    <row r="275" spans="1:14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9">
        <f t="shared" si="4"/>
        <v>2</v>
      </c>
      <c r="N275" s="9"/>
    </row>
    <row r="276" spans="1:14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9">
        <f t="shared" si="4"/>
        <v>4</v>
      </c>
      <c r="N276" s="9"/>
    </row>
    <row r="277" spans="1:14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9">
        <f t="shared" si="4"/>
        <v>2</v>
      </c>
      <c r="N277" s="9"/>
    </row>
    <row r="278" spans="1:14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9">
        <f t="shared" si="4"/>
        <v>4</v>
      </c>
      <c r="N278" s="9"/>
    </row>
    <row r="279" spans="1:14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9">
        <f t="shared" si="4"/>
        <v>4</v>
      </c>
      <c r="N279" s="9"/>
    </row>
    <row r="280" spans="1:14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9">
        <f t="shared" si="4"/>
        <v>2</v>
      </c>
      <c r="N280" s="9"/>
    </row>
    <row r="281" spans="1:14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9">
        <f t="shared" si="4"/>
        <v>2</v>
      </c>
      <c r="N281" s="9"/>
    </row>
    <row r="282" spans="1:14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9">
        <f t="shared" si="4"/>
        <v>4</v>
      </c>
      <c r="N282" s="9"/>
    </row>
    <row r="283" spans="1:14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9">
        <f t="shared" si="4"/>
        <v>2</v>
      </c>
      <c r="N283" s="9"/>
    </row>
    <row r="284" spans="1:14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9">
        <f t="shared" si="4"/>
        <v>4</v>
      </c>
      <c r="N284" s="9"/>
    </row>
    <row r="285" spans="1:14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9">
        <f t="shared" si="4"/>
        <v>2</v>
      </c>
      <c r="N285" s="9"/>
    </row>
    <row r="286" spans="1:14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9">
        <f t="shared" si="4"/>
        <v>2</v>
      </c>
      <c r="N286" s="9"/>
    </row>
    <row r="287" spans="1:14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9">
        <f t="shared" si="4"/>
        <v>4</v>
      </c>
      <c r="N287" s="9"/>
    </row>
    <row r="288" spans="1:14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9">
        <f t="shared" si="4"/>
        <v>4</v>
      </c>
      <c r="N288" s="9"/>
    </row>
    <row r="289" spans="1:14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9">
        <f t="shared" si="4"/>
        <v>4</v>
      </c>
      <c r="N289" s="9"/>
    </row>
    <row r="290" spans="1:14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9">
        <f t="shared" si="4"/>
        <v>2</v>
      </c>
      <c r="N290" s="9"/>
    </row>
    <row r="291" spans="1:14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9">
        <f t="shared" si="4"/>
        <v>4</v>
      </c>
      <c r="N291" s="9"/>
    </row>
    <row r="292" spans="1:14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9">
        <f t="shared" si="4"/>
        <v>4</v>
      </c>
      <c r="N292" s="9"/>
    </row>
    <row r="293" spans="1:14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9">
        <f t="shared" si="4"/>
        <v>4</v>
      </c>
      <c r="N293" s="9"/>
    </row>
    <row r="294" spans="1:14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9">
        <f t="shared" si="4"/>
        <v>2</v>
      </c>
      <c r="N294" s="9"/>
    </row>
    <row r="295" spans="1:14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9">
        <f t="shared" si="4"/>
        <v>4</v>
      </c>
      <c r="N295" s="9"/>
    </row>
    <row r="296" spans="1:14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9">
        <f t="shared" si="4"/>
        <v>2</v>
      </c>
      <c r="N296" s="9"/>
    </row>
    <row r="297" spans="1:14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9">
        <f t="shared" si="4"/>
        <v>4</v>
      </c>
      <c r="N297" s="9"/>
    </row>
    <row r="298" spans="1:14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9">
        <f t="shared" si="4"/>
        <v>4</v>
      </c>
      <c r="N298" s="9"/>
    </row>
    <row r="299" spans="1:14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9">
        <f t="shared" si="4"/>
        <v>4</v>
      </c>
      <c r="N299" s="9"/>
    </row>
    <row r="300" spans="1:14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9">
        <f t="shared" si="4"/>
        <v>4</v>
      </c>
      <c r="N300" s="9"/>
    </row>
    <row r="301" spans="1:14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9">
        <f t="shared" si="4"/>
        <v>4</v>
      </c>
      <c r="N301" s="9"/>
    </row>
    <row r="302" spans="1:14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9">
        <f t="shared" si="4"/>
        <v>4</v>
      </c>
      <c r="N302" s="9"/>
    </row>
    <row r="303" spans="1:14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9">
        <f t="shared" si="4"/>
        <v>4</v>
      </c>
      <c r="N303" s="9"/>
    </row>
    <row r="304" spans="1:14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9">
        <f t="shared" si="4"/>
        <v>2</v>
      </c>
      <c r="N304" s="9"/>
    </row>
    <row r="305" spans="1:14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9">
        <f t="shared" si="4"/>
        <v>4</v>
      </c>
      <c r="N305" s="9"/>
    </row>
    <row r="306" spans="1:14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9">
        <f t="shared" si="4"/>
        <v>4</v>
      </c>
      <c r="N306" s="9"/>
    </row>
    <row r="307" spans="1:14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9">
        <f t="shared" si="4"/>
        <v>4</v>
      </c>
      <c r="N307" s="9"/>
    </row>
    <row r="308" spans="1:14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9">
        <f t="shared" si="4"/>
        <v>4</v>
      </c>
      <c r="N308" s="9"/>
    </row>
    <row r="309" spans="1:14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9">
        <f t="shared" si="4"/>
        <v>4</v>
      </c>
      <c r="N309" s="9"/>
    </row>
    <row r="310" spans="1:14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9">
        <f t="shared" si="4"/>
        <v>4</v>
      </c>
      <c r="N310" s="9"/>
    </row>
    <row r="311" spans="1:14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9">
        <f t="shared" si="4"/>
        <v>4</v>
      </c>
      <c r="N311" s="9"/>
    </row>
    <row r="312" spans="1:14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9">
        <f t="shared" si="4"/>
        <v>4</v>
      </c>
      <c r="N312" s="9"/>
    </row>
    <row r="313" spans="1:14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9">
        <f t="shared" si="4"/>
        <v>4</v>
      </c>
      <c r="N313" s="9"/>
    </row>
    <row r="314" spans="1:14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9">
        <f t="shared" si="4"/>
        <v>4</v>
      </c>
      <c r="N314" s="9"/>
    </row>
    <row r="315" spans="1:14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9">
        <f t="shared" si="4"/>
        <v>4</v>
      </c>
      <c r="N315" s="9"/>
    </row>
    <row r="316" spans="1:14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9">
        <f t="shared" si="4"/>
        <v>4</v>
      </c>
      <c r="N316" s="9"/>
    </row>
    <row r="317" spans="1:14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9">
        <f t="shared" si="4"/>
        <v>4</v>
      </c>
      <c r="N317" s="9"/>
    </row>
    <row r="318" spans="1:14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9">
        <f t="shared" si="4"/>
        <v>4</v>
      </c>
      <c r="N318" s="9"/>
    </row>
    <row r="319" spans="1:14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9">
        <f t="shared" si="4"/>
        <v>2</v>
      </c>
      <c r="N319" s="9"/>
    </row>
    <row r="320" spans="1:14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9">
        <f t="shared" si="4"/>
        <v>4</v>
      </c>
      <c r="N320" s="9"/>
    </row>
    <row r="321" spans="1:14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9">
        <f t="shared" si="4"/>
        <v>4</v>
      </c>
      <c r="N321" s="9"/>
    </row>
    <row r="322" spans="1:14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9">
        <f t="shared" si="4"/>
        <v>4</v>
      </c>
      <c r="N322" s="9"/>
    </row>
    <row r="323" spans="1:14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9">
        <f t="shared" ref="M323:M386" si="5">IF(OR(J323="Two-Door Car",J323="Luxury Car",J323="Sports Car"),2,IF(OR(J323="Four-Door Car",J323="SUV",J323="Luxury SUV"),4,""))</f>
        <v>4</v>
      </c>
      <c r="N323" s="9"/>
    </row>
    <row r="324" spans="1:14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9">
        <f t="shared" si="5"/>
        <v>4</v>
      </c>
      <c r="N324" s="9"/>
    </row>
    <row r="325" spans="1:14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9">
        <f t="shared" si="5"/>
        <v>4</v>
      </c>
      <c r="N325" s="9"/>
    </row>
    <row r="326" spans="1:14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9">
        <f t="shared" si="5"/>
        <v>4</v>
      </c>
      <c r="N326" s="9"/>
    </row>
    <row r="327" spans="1:14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9">
        <f t="shared" si="5"/>
        <v>4</v>
      </c>
      <c r="N327" s="9"/>
    </row>
    <row r="328" spans="1:14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9">
        <f t="shared" si="5"/>
        <v>4</v>
      </c>
      <c r="N328" s="9"/>
    </row>
    <row r="329" spans="1:14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9">
        <f t="shared" si="5"/>
        <v>4</v>
      </c>
      <c r="N329" s="9"/>
    </row>
    <row r="330" spans="1:14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9">
        <f t="shared" si="5"/>
        <v>4</v>
      </c>
      <c r="N330" s="9"/>
    </row>
    <row r="331" spans="1:14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9">
        <f t="shared" si="5"/>
        <v>2</v>
      </c>
      <c r="N331" s="9"/>
    </row>
    <row r="332" spans="1:14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9">
        <f t="shared" si="5"/>
        <v>4</v>
      </c>
      <c r="N332" s="9"/>
    </row>
    <row r="333" spans="1:14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9">
        <f t="shared" si="5"/>
        <v>4</v>
      </c>
      <c r="N333" s="9"/>
    </row>
    <row r="334" spans="1:14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9">
        <f t="shared" si="5"/>
        <v>2</v>
      </c>
      <c r="N334" s="9"/>
    </row>
    <row r="335" spans="1:14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9">
        <f t="shared" si="5"/>
        <v>4</v>
      </c>
      <c r="N335" s="9"/>
    </row>
    <row r="336" spans="1:14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9">
        <f t="shared" si="5"/>
        <v>4</v>
      </c>
      <c r="N336" s="9"/>
    </row>
    <row r="337" spans="1:14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9">
        <f t="shared" si="5"/>
        <v>2</v>
      </c>
      <c r="N337" s="9"/>
    </row>
    <row r="338" spans="1:14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9">
        <f t="shared" si="5"/>
        <v>4</v>
      </c>
      <c r="N338" s="9"/>
    </row>
    <row r="339" spans="1:14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9">
        <f t="shared" si="5"/>
        <v>4</v>
      </c>
      <c r="N339" s="9"/>
    </row>
    <row r="340" spans="1:14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9">
        <f t="shared" si="5"/>
        <v>4</v>
      </c>
      <c r="N340" s="9"/>
    </row>
    <row r="341" spans="1:14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9">
        <f t="shared" si="5"/>
        <v>2</v>
      </c>
      <c r="N341" s="9"/>
    </row>
    <row r="342" spans="1:14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9">
        <f t="shared" si="5"/>
        <v>4</v>
      </c>
      <c r="N342" s="9"/>
    </row>
    <row r="343" spans="1:14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9">
        <f t="shared" si="5"/>
        <v>4</v>
      </c>
      <c r="N343" s="9"/>
    </row>
    <row r="344" spans="1:14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9">
        <f t="shared" si="5"/>
        <v>4</v>
      </c>
      <c r="N344" s="9"/>
    </row>
    <row r="345" spans="1:14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9">
        <f t="shared" si="5"/>
        <v>4</v>
      </c>
      <c r="N345" s="9"/>
    </row>
    <row r="346" spans="1:14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9">
        <f t="shared" si="5"/>
        <v>4</v>
      </c>
      <c r="N346" s="9"/>
    </row>
    <row r="347" spans="1:14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9">
        <f t="shared" si="5"/>
        <v>4</v>
      </c>
      <c r="N347" s="9"/>
    </row>
    <row r="348" spans="1:14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9">
        <f t="shared" si="5"/>
        <v>4</v>
      </c>
      <c r="N348" s="9"/>
    </row>
    <row r="349" spans="1:14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9">
        <f t="shared" si="5"/>
        <v>4</v>
      </c>
      <c r="N349" s="9"/>
    </row>
    <row r="350" spans="1:14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9">
        <f t="shared" si="5"/>
        <v>4</v>
      </c>
      <c r="N350" s="9"/>
    </row>
    <row r="351" spans="1:14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9">
        <f t="shared" si="5"/>
        <v>4</v>
      </c>
      <c r="N351" s="9"/>
    </row>
    <row r="352" spans="1:14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9">
        <f t="shared" si="5"/>
        <v>4</v>
      </c>
      <c r="N352" s="9"/>
    </row>
    <row r="353" spans="1:14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9">
        <f t="shared" si="5"/>
        <v>4</v>
      </c>
      <c r="N353" s="9"/>
    </row>
    <row r="354" spans="1:14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9">
        <f t="shared" si="5"/>
        <v>4</v>
      </c>
      <c r="N354" s="9"/>
    </row>
    <row r="355" spans="1:14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9">
        <f t="shared" si="5"/>
        <v>4</v>
      </c>
      <c r="N355" s="9"/>
    </row>
    <row r="356" spans="1:14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9">
        <f t="shared" si="5"/>
        <v>4</v>
      </c>
      <c r="N356" s="9"/>
    </row>
    <row r="357" spans="1:14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9">
        <f t="shared" si="5"/>
        <v>2</v>
      </c>
      <c r="N357" s="9"/>
    </row>
    <row r="358" spans="1:14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9">
        <f t="shared" si="5"/>
        <v>4</v>
      </c>
      <c r="N358" s="9"/>
    </row>
    <row r="359" spans="1:14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9">
        <f t="shared" si="5"/>
        <v>4</v>
      </c>
      <c r="N359" s="9"/>
    </row>
    <row r="360" spans="1:14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9">
        <f t="shared" si="5"/>
        <v>4</v>
      </c>
      <c r="N360" s="9"/>
    </row>
    <row r="361" spans="1:14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9">
        <f t="shared" si="5"/>
        <v>4</v>
      </c>
      <c r="N361" s="9"/>
    </row>
    <row r="362" spans="1:14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9">
        <f t="shared" si="5"/>
        <v>4</v>
      </c>
      <c r="N362" s="9"/>
    </row>
    <row r="363" spans="1:14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9">
        <f t="shared" si="5"/>
        <v>4</v>
      </c>
      <c r="N363" s="9"/>
    </row>
    <row r="364" spans="1:14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9">
        <f t="shared" si="5"/>
        <v>2</v>
      </c>
      <c r="N364" s="9"/>
    </row>
    <row r="365" spans="1:14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9">
        <f t="shared" si="5"/>
        <v>4</v>
      </c>
      <c r="N365" s="9"/>
    </row>
    <row r="366" spans="1:14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9">
        <f t="shared" si="5"/>
        <v>4</v>
      </c>
      <c r="N366" s="9"/>
    </row>
    <row r="367" spans="1:14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9">
        <f t="shared" si="5"/>
        <v>4</v>
      </c>
      <c r="N367" s="9"/>
    </row>
    <row r="368" spans="1:14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9">
        <f t="shared" si="5"/>
        <v>4</v>
      </c>
      <c r="N368" s="9"/>
    </row>
    <row r="369" spans="1:14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9">
        <f t="shared" si="5"/>
        <v>4</v>
      </c>
      <c r="N369" s="9"/>
    </row>
    <row r="370" spans="1:14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9">
        <f t="shared" si="5"/>
        <v>4</v>
      </c>
      <c r="N370" s="9"/>
    </row>
    <row r="371" spans="1:14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9">
        <f t="shared" si="5"/>
        <v>4</v>
      </c>
      <c r="N371" s="9"/>
    </row>
    <row r="372" spans="1:14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9">
        <f t="shared" si="5"/>
        <v>2</v>
      </c>
      <c r="N372" s="9"/>
    </row>
    <row r="373" spans="1:14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9">
        <f t="shared" si="5"/>
        <v>2</v>
      </c>
      <c r="N373" s="9"/>
    </row>
    <row r="374" spans="1:14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9">
        <f t="shared" si="5"/>
        <v>4</v>
      </c>
      <c r="N374" s="9"/>
    </row>
    <row r="375" spans="1:14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9">
        <f t="shared" si="5"/>
        <v>4</v>
      </c>
      <c r="N375" s="9"/>
    </row>
    <row r="376" spans="1:14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9">
        <f t="shared" si="5"/>
        <v>2</v>
      </c>
      <c r="N376" s="9"/>
    </row>
    <row r="377" spans="1:14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9">
        <f t="shared" si="5"/>
        <v>4</v>
      </c>
      <c r="N377" s="9"/>
    </row>
    <row r="378" spans="1:14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9">
        <f t="shared" si="5"/>
        <v>4</v>
      </c>
      <c r="N378" s="9"/>
    </row>
    <row r="379" spans="1:14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9">
        <f t="shared" si="5"/>
        <v>4</v>
      </c>
      <c r="N379" s="9"/>
    </row>
    <row r="380" spans="1:14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9">
        <f t="shared" si="5"/>
        <v>2</v>
      </c>
      <c r="N380" s="9"/>
    </row>
    <row r="381" spans="1:14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9">
        <f t="shared" si="5"/>
        <v>4</v>
      </c>
      <c r="N381" s="9"/>
    </row>
    <row r="382" spans="1:14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9">
        <f t="shared" si="5"/>
        <v>4</v>
      </c>
      <c r="N382" s="9"/>
    </row>
    <row r="383" spans="1:14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9">
        <f t="shared" si="5"/>
        <v>4</v>
      </c>
      <c r="N383" s="9"/>
    </row>
    <row r="384" spans="1:14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9">
        <f t="shared" si="5"/>
        <v>4</v>
      </c>
      <c r="N384" s="9"/>
    </row>
    <row r="385" spans="1:14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9">
        <f t="shared" si="5"/>
        <v>4</v>
      </c>
      <c r="N385" s="9"/>
    </row>
    <row r="386" spans="1:14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9">
        <f t="shared" si="5"/>
        <v>4</v>
      </c>
      <c r="N386" s="9"/>
    </row>
    <row r="387" spans="1:14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9">
        <f t="shared" ref="M387:M450" si="6">IF(OR(J387="Two-Door Car",J387="Luxury Car",J387="Sports Car"),2,IF(OR(J387="Four-Door Car",J387="SUV",J387="Luxury SUV"),4,""))</f>
        <v>4</v>
      </c>
      <c r="N387" s="9"/>
    </row>
    <row r="388" spans="1:14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9">
        <f t="shared" si="6"/>
        <v>4</v>
      </c>
      <c r="N388" s="9"/>
    </row>
    <row r="389" spans="1:14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9">
        <f t="shared" si="6"/>
        <v>4</v>
      </c>
      <c r="N389" s="9"/>
    </row>
    <row r="390" spans="1:14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9">
        <f t="shared" si="6"/>
        <v>2</v>
      </c>
      <c r="N390" s="9"/>
    </row>
    <row r="391" spans="1:14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9">
        <f t="shared" si="6"/>
        <v>4</v>
      </c>
      <c r="N391" s="9"/>
    </row>
    <row r="392" spans="1:14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9">
        <f t="shared" si="6"/>
        <v>4</v>
      </c>
      <c r="N392" s="9"/>
    </row>
    <row r="393" spans="1:14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9">
        <f t="shared" si="6"/>
        <v>4</v>
      </c>
      <c r="N393" s="9"/>
    </row>
    <row r="394" spans="1:14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9">
        <f t="shared" si="6"/>
        <v>4</v>
      </c>
      <c r="N394" s="9"/>
    </row>
    <row r="395" spans="1:14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9">
        <f t="shared" si="6"/>
        <v>2</v>
      </c>
      <c r="N395" s="9"/>
    </row>
    <row r="396" spans="1:14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9">
        <f t="shared" si="6"/>
        <v>2</v>
      </c>
      <c r="N396" s="9"/>
    </row>
    <row r="397" spans="1:14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9">
        <f t="shared" si="6"/>
        <v>4</v>
      </c>
      <c r="N397" s="9"/>
    </row>
    <row r="398" spans="1:14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9">
        <f t="shared" si="6"/>
        <v>2</v>
      </c>
      <c r="N398" s="9"/>
    </row>
    <row r="399" spans="1:14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9">
        <f t="shared" si="6"/>
        <v>4</v>
      </c>
      <c r="N399" s="9"/>
    </row>
    <row r="400" spans="1:14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9">
        <f t="shared" si="6"/>
        <v>4</v>
      </c>
      <c r="N400" s="9"/>
    </row>
    <row r="401" spans="1:14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9">
        <f t="shared" si="6"/>
        <v>4</v>
      </c>
      <c r="N401" s="9"/>
    </row>
    <row r="402" spans="1:14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9">
        <f t="shared" si="6"/>
        <v>4</v>
      </c>
      <c r="N402" s="9"/>
    </row>
    <row r="403" spans="1:14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9">
        <f t="shared" si="6"/>
        <v>4</v>
      </c>
      <c r="N403" s="9"/>
    </row>
    <row r="404" spans="1:14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9">
        <f t="shared" si="6"/>
        <v>4</v>
      </c>
      <c r="N404" s="9"/>
    </row>
    <row r="405" spans="1:14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9">
        <f t="shared" si="6"/>
        <v>4</v>
      </c>
      <c r="N405" s="9"/>
    </row>
    <row r="406" spans="1:14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9">
        <f t="shared" si="6"/>
        <v>4</v>
      </c>
      <c r="N406" s="9"/>
    </row>
    <row r="407" spans="1:14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9">
        <f t="shared" si="6"/>
        <v>4</v>
      </c>
      <c r="N407" s="9"/>
    </row>
    <row r="408" spans="1:14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9">
        <f t="shared" si="6"/>
        <v>4</v>
      </c>
      <c r="N408" s="9"/>
    </row>
    <row r="409" spans="1:14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9">
        <f t="shared" si="6"/>
        <v>2</v>
      </c>
      <c r="N409" s="9"/>
    </row>
    <row r="410" spans="1:14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9">
        <f t="shared" si="6"/>
        <v>2</v>
      </c>
      <c r="N410" s="9"/>
    </row>
    <row r="411" spans="1:14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9">
        <f t="shared" si="6"/>
        <v>4</v>
      </c>
      <c r="N411" s="9"/>
    </row>
    <row r="412" spans="1:14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9">
        <f t="shared" si="6"/>
        <v>4</v>
      </c>
      <c r="N412" s="9"/>
    </row>
    <row r="413" spans="1:14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9">
        <f t="shared" si="6"/>
        <v>4</v>
      </c>
      <c r="N413" s="9"/>
    </row>
    <row r="414" spans="1:14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9">
        <f t="shared" si="6"/>
        <v>4</v>
      </c>
      <c r="N414" s="9"/>
    </row>
    <row r="415" spans="1:14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9">
        <f t="shared" si="6"/>
        <v>2</v>
      </c>
      <c r="N415" s="9"/>
    </row>
    <row r="416" spans="1:14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9">
        <f t="shared" si="6"/>
        <v>4</v>
      </c>
      <c r="N416" s="9"/>
    </row>
    <row r="417" spans="1:14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9">
        <f t="shared" si="6"/>
        <v>2</v>
      </c>
      <c r="N417" s="9"/>
    </row>
    <row r="418" spans="1:14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9">
        <f t="shared" si="6"/>
        <v>2</v>
      </c>
      <c r="N418" s="9"/>
    </row>
    <row r="419" spans="1:14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9">
        <f t="shared" si="6"/>
        <v>4</v>
      </c>
      <c r="N419" s="9"/>
    </row>
    <row r="420" spans="1:14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9">
        <f t="shared" si="6"/>
        <v>2</v>
      </c>
      <c r="N420" s="9"/>
    </row>
    <row r="421" spans="1:14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9">
        <f t="shared" si="6"/>
        <v>4</v>
      </c>
      <c r="N421" s="9"/>
    </row>
    <row r="422" spans="1:14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9">
        <f t="shared" si="6"/>
        <v>2</v>
      </c>
      <c r="N422" s="9"/>
    </row>
    <row r="423" spans="1:14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9">
        <f t="shared" si="6"/>
        <v>4</v>
      </c>
      <c r="N423" s="9"/>
    </row>
    <row r="424" spans="1:14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9">
        <f t="shared" si="6"/>
        <v>2</v>
      </c>
      <c r="N424" s="9"/>
    </row>
    <row r="425" spans="1:14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9">
        <f t="shared" si="6"/>
        <v>2</v>
      </c>
      <c r="N425" s="9"/>
    </row>
    <row r="426" spans="1:14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9">
        <f t="shared" si="6"/>
        <v>4</v>
      </c>
      <c r="N426" s="9"/>
    </row>
    <row r="427" spans="1:14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9">
        <f t="shared" si="6"/>
        <v>2</v>
      </c>
      <c r="N427" s="9"/>
    </row>
    <row r="428" spans="1:14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9">
        <f t="shared" si="6"/>
        <v>4</v>
      </c>
      <c r="N428" s="9"/>
    </row>
    <row r="429" spans="1:14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9">
        <f t="shared" si="6"/>
        <v>2</v>
      </c>
      <c r="N429" s="9"/>
    </row>
    <row r="430" spans="1:14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9">
        <f t="shared" si="6"/>
        <v>4</v>
      </c>
      <c r="N430" s="9"/>
    </row>
    <row r="431" spans="1:14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9">
        <f t="shared" si="6"/>
        <v>4</v>
      </c>
      <c r="N431" s="9"/>
    </row>
    <row r="432" spans="1:14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9">
        <f t="shared" si="6"/>
        <v>2</v>
      </c>
      <c r="N432" s="9"/>
    </row>
    <row r="433" spans="1:14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9">
        <f t="shared" si="6"/>
        <v>4</v>
      </c>
      <c r="N433" s="9"/>
    </row>
    <row r="434" spans="1:14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9">
        <f t="shared" si="6"/>
        <v>4</v>
      </c>
      <c r="N434" s="9"/>
    </row>
    <row r="435" spans="1:14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9">
        <f t="shared" si="6"/>
        <v>2</v>
      </c>
      <c r="N435" s="9"/>
    </row>
    <row r="436" spans="1:14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9">
        <f t="shared" si="6"/>
        <v>4</v>
      </c>
      <c r="N436" s="9"/>
    </row>
    <row r="437" spans="1:14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9">
        <f t="shared" si="6"/>
        <v>4</v>
      </c>
      <c r="N437" s="9"/>
    </row>
    <row r="438" spans="1:14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9">
        <f t="shared" si="6"/>
        <v>2</v>
      </c>
      <c r="N438" s="9"/>
    </row>
    <row r="439" spans="1:14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9">
        <f t="shared" si="6"/>
        <v>4</v>
      </c>
      <c r="N439" s="9"/>
    </row>
    <row r="440" spans="1:14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9">
        <f t="shared" si="6"/>
        <v>2</v>
      </c>
      <c r="N440" s="9"/>
    </row>
    <row r="441" spans="1:14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9">
        <f t="shared" si="6"/>
        <v>4</v>
      </c>
      <c r="N441" s="9"/>
    </row>
    <row r="442" spans="1:14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9">
        <f t="shared" si="6"/>
        <v>4</v>
      </c>
      <c r="N442" s="9"/>
    </row>
    <row r="443" spans="1:14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9">
        <f t="shared" si="6"/>
        <v>2</v>
      </c>
      <c r="N443" s="9"/>
    </row>
    <row r="444" spans="1:14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9">
        <f t="shared" si="6"/>
        <v>4</v>
      </c>
      <c r="N444" s="9"/>
    </row>
    <row r="445" spans="1:14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9">
        <f t="shared" si="6"/>
        <v>4</v>
      </c>
      <c r="N445" s="9"/>
    </row>
    <row r="446" spans="1:14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9">
        <f t="shared" si="6"/>
        <v>2</v>
      </c>
      <c r="N446" s="9"/>
    </row>
    <row r="447" spans="1:14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9">
        <f t="shared" si="6"/>
        <v>4</v>
      </c>
      <c r="N447" s="9"/>
    </row>
    <row r="448" spans="1:14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9">
        <f t="shared" si="6"/>
        <v>4</v>
      </c>
      <c r="N448" s="9"/>
    </row>
    <row r="449" spans="1:14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9">
        <f t="shared" si="6"/>
        <v>4</v>
      </c>
      <c r="N449" s="9"/>
    </row>
    <row r="450" spans="1:14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9">
        <f t="shared" si="6"/>
        <v>4</v>
      </c>
      <c r="N450" s="9"/>
    </row>
    <row r="451" spans="1:14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9">
        <f t="shared" ref="M451:M514" si="7">IF(OR(J451="Two-Door Car",J451="Luxury Car",J451="Sports Car"),2,IF(OR(J451="Four-Door Car",J451="SUV",J451="Luxury SUV"),4,""))</f>
        <v>4</v>
      </c>
      <c r="N451" s="9"/>
    </row>
    <row r="452" spans="1:14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9">
        <f t="shared" si="7"/>
        <v>2</v>
      </c>
      <c r="N452" s="9"/>
    </row>
    <row r="453" spans="1:14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9">
        <f t="shared" si="7"/>
        <v>4</v>
      </c>
      <c r="N453" s="9"/>
    </row>
    <row r="454" spans="1:14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9">
        <f t="shared" si="7"/>
        <v>4</v>
      </c>
      <c r="N454" s="9"/>
    </row>
    <row r="455" spans="1:14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9">
        <f t="shared" si="7"/>
        <v>4</v>
      </c>
      <c r="N455" s="9"/>
    </row>
    <row r="456" spans="1:14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9">
        <f t="shared" si="7"/>
        <v>4</v>
      </c>
      <c r="N456" s="9"/>
    </row>
    <row r="457" spans="1:14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9">
        <f t="shared" si="7"/>
        <v>4</v>
      </c>
      <c r="N457" s="9"/>
    </row>
    <row r="458" spans="1:14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9">
        <f t="shared" si="7"/>
        <v>2</v>
      </c>
      <c r="N458" s="9"/>
    </row>
    <row r="459" spans="1:14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9">
        <f t="shared" si="7"/>
        <v>2</v>
      </c>
      <c r="N459" s="9"/>
    </row>
    <row r="460" spans="1:14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9">
        <f t="shared" si="7"/>
        <v>4</v>
      </c>
      <c r="N460" s="9"/>
    </row>
    <row r="461" spans="1:14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9">
        <f t="shared" si="7"/>
        <v>2</v>
      </c>
      <c r="N461" s="9"/>
    </row>
    <row r="462" spans="1:14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9">
        <f t="shared" si="7"/>
        <v>4</v>
      </c>
      <c r="N462" s="9"/>
    </row>
    <row r="463" spans="1:14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9">
        <f t="shared" si="7"/>
        <v>4</v>
      </c>
      <c r="N463" s="9"/>
    </row>
    <row r="464" spans="1:14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9">
        <f t="shared" si="7"/>
        <v>4</v>
      </c>
      <c r="N464" s="9"/>
    </row>
    <row r="465" spans="1:14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9">
        <f t="shared" si="7"/>
        <v>2</v>
      </c>
      <c r="N465" s="9"/>
    </row>
    <row r="466" spans="1:14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9">
        <f t="shared" si="7"/>
        <v>4</v>
      </c>
      <c r="N466" s="9"/>
    </row>
    <row r="467" spans="1:14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9">
        <f t="shared" si="7"/>
        <v>2</v>
      </c>
      <c r="N467" s="9"/>
    </row>
    <row r="468" spans="1:14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9">
        <f t="shared" si="7"/>
        <v>4</v>
      </c>
      <c r="N468" s="9"/>
    </row>
    <row r="469" spans="1:14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9">
        <f t="shared" si="7"/>
        <v>4</v>
      </c>
      <c r="N469" s="9"/>
    </row>
    <row r="470" spans="1:14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9">
        <f t="shared" si="7"/>
        <v>4</v>
      </c>
      <c r="N470" s="9"/>
    </row>
    <row r="471" spans="1:14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9">
        <f t="shared" si="7"/>
        <v>4</v>
      </c>
      <c r="N471" s="9"/>
    </row>
    <row r="472" spans="1:14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9">
        <f t="shared" si="7"/>
        <v>4</v>
      </c>
      <c r="N472" s="9"/>
    </row>
    <row r="473" spans="1:14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9">
        <f t="shared" si="7"/>
        <v>4</v>
      </c>
      <c r="N473" s="9"/>
    </row>
    <row r="474" spans="1:14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9">
        <f t="shared" si="7"/>
        <v>2</v>
      </c>
      <c r="N474" s="9"/>
    </row>
    <row r="475" spans="1:14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9">
        <f t="shared" si="7"/>
        <v>2</v>
      </c>
      <c r="N475" s="9"/>
    </row>
    <row r="476" spans="1:14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9">
        <f t="shared" si="7"/>
        <v>4</v>
      </c>
      <c r="N476" s="9"/>
    </row>
    <row r="477" spans="1:14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9">
        <f t="shared" si="7"/>
        <v>2</v>
      </c>
      <c r="N477" s="9"/>
    </row>
    <row r="478" spans="1:14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9">
        <f t="shared" si="7"/>
        <v>2</v>
      </c>
      <c r="N478" s="9"/>
    </row>
    <row r="479" spans="1:14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9">
        <f t="shared" si="7"/>
        <v>4</v>
      </c>
      <c r="N479" s="9"/>
    </row>
    <row r="480" spans="1:14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9">
        <f t="shared" si="7"/>
        <v>2</v>
      </c>
      <c r="N480" s="9"/>
    </row>
    <row r="481" spans="1:14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9">
        <f t="shared" si="7"/>
        <v>2</v>
      </c>
      <c r="N481" s="9"/>
    </row>
    <row r="482" spans="1:14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9">
        <f t="shared" si="7"/>
        <v>4</v>
      </c>
      <c r="N482" s="9"/>
    </row>
    <row r="483" spans="1:14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9">
        <f t="shared" si="7"/>
        <v>4</v>
      </c>
      <c r="N483" s="9"/>
    </row>
    <row r="484" spans="1:14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9">
        <f t="shared" si="7"/>
        <v>4</v>
      </c>
      <c r="N484" s="9"/>
    </row>
    <row r="485" spans="1:14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9">
        <f t="shared" si="7"/>
        <v>2</v>
      </c>
      <c r="N485" s="9"/>
    </row>
    <row r="486" spans="1:14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9">
        <f t="shared" si="7"/>
        <v>4</v>
      </c>
      <c r="N486" s="9"/>
    </row>
    <row r="487" spans="1:14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9">
        <f t="shared" si="7"/>
        <v>4</v>
      </c>
      <c r="N487" s="9"/>
    </row>
    <row r="488" spans="1:14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9">
        <f t="shared" si="7"/>
        <v>4</v>
      </c>
      <c r="N488" s="9"/>
    </row>
    <row r="489" spans="1:14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9">
        <f t="shared" si="7"/>
        <v>4</v>
      </c>
      <c r="N489" s="9"/>
    </row>
    <row r="490" spans="1:14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9">
        <f t="shared" si="7"/>
        <v>2</v>
      </c>
      <c r="N490" s="9"/>
    </row>
    <row r="491" spans="1:14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9">
        <f t="shared" si="7"/>
        <v>4</v>
      </c>
      <c r="N491" s="9"/>
    </row>
    <row r="492" spans="1:14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9">
        <f t="shared" si="7"/>
        <v>4</v>
      </c>
      <c r="N492" s="9"/>
    </row>
    <row r="493" spans="1:14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9">
        <f t="shared" si="7"/>
        <v>4</v>
      </c>
      <c r="N493" s="9"/>
    </row>
    <row r="494" spans="1:14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9">
        <f t="shared" si="7"/>
        <v>2</v>
      </c>
      <c r="N494" s="9"/>
    </row>
    <row r="495" spans="1:14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9">
        <f t="shared" si="7"/>
        <v>2</v>
      </c>
      <c r="N495" s="9"/>
    </row>
    <row r="496" spans="1:14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9">
        <f t="shared" si="7"/>
        <v>4</v>
      </c>
      <c r="N496" s="9"/>
    </row>
    <row r="497" spans="1:14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9">
        <f t="shared" si="7"/>
        <v>4</v>
      </c>
      <c r="N497" s="9"/>
    </row>
    <row r="498" spans="1:14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9">
        <f t="shared" si="7"/>
        <v>4</v>
      </c>
      <c r="N498" s="9"/>
    </row>
    <row r="499" spans="1:14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9">
        <f t="shared" si="7"/>
        <v>4</v>
      </c>
      <c r="N499" s="9"/>
    </row>
    <row r="500" spans="1:14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9">
        <f t="shared" si="7"/>
        <v>4</v>
      </c>
      <c r="N500" s="9"/>
    </row>
    <row r="501" spans="1:14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9">
        <f t="shared" si="7"/>
        <v>4</v>
      </c>
      <c r="N501" s="9"/>
    </row>
    <row r="502" spans="1:14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9">
        <f t="shared" si="7"/>
        <v>2</v>
      </c>
      <c r="N502" s="9"/>
    </row>
    <row r="503" spans="1:14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9">
        <f t="shared" si="7"/>
        <v>4</v>
      </c>
      <c r="N503" s="9"/>
    </row>
    <row r="504" spans="1:14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9">
        <f t="shared" si="7"/>
        <v>4</v>
      </c>
      <c r="N504" s="9"/>
    </row>
    <row r="505" spans="1:14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9">
        <f t="shared" si="7"/>
        <v>4</v>
      </c>
      <c r="N505" s="9"/>
    </row>
    <row r="506" spans="1:14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9">
        <f t="shared" si="7"/>
        <v>2</v>
      </c>
      <c r="N506" s="9"/>
    </row>
    <row r="507" spans="1:14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9">
        <f t="shared" si="7"/>
        <v>4</v>
      </c>
      <c r="N507" s="9"/>
    </row>
    <row r="508" spans="1:14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9">
        <f t="shared" si="7"/>
        <v>4</v>
      </c>
      <c r="N508" s="9"/>
    </row>
    <row r="509" spans="1:14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9">
        <f t="shared" si="7"/>
        <v>4</v>
      </c>
      <c r="N509" s="9"/>
    </row>
    <row r="510" spans="1:14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9">
        <f t="shared" si="7"/>
        <v>4</v>
      </c>
      <c r="N510" s="9"/>
    </row>
    <row r="511" spans="1:14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9">
        <f t="shared" si="7"/>
        <v>2</v>
      </c>
      <c r="N511" s="9"/>
    </row>
    <row r="512" spans="1:14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9">
        <f t="shared" si="7"/>
        <v>4</v>
      </c>
      <c r="N512" s="9"/>
    </row>
    <row r="513" spans="1:14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9">
        <f t="shared" si="7"/>
        <v>4</v>
      </c>
      <c r="N513" s="9"/>
    </row>
    <row r="514" spans="1:14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9">
        <f t="shared" si="7"/>
        <v>2</v>
      </c>
      <c r="N514" s="9"/>
    </row>
    <row r="515" spans="1:14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9">
        <f t="shared" ref="M515:M578" si="8">IF(OR(J515="Two-Door Car",J515="Luxury Car",J515="Sports Car"),2,IF(OR(J515="Four-Door Car",J515="SUV",J515="Luxury SUV"),4,""))</f>
        <v>4</v>
      </c>
      <c r="N515" s="9"/>
    </row>
    <row r="516" spans="1:14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9">
        <f t="shared" si="8"/>
        <v>4</v>
      </c>
      <c r="N516" s="9"/>
    </row>
    <row r="517" spans="1:14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9">
        <f t="shared" si="8"/>
        <v>2</v>
      </c>
      <c r="N517" s="9"/>
    </row>
    <row r="518" spans="1:14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9">
        <f t="shared" si="8"/>
        <v>4</v>
      </c>
      <c r="N518" s="9"/>
    </row>
    <row r="519" spans="1:14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9">
        <f t="shared" si="8"/>
        <v>4</v>
      </c>
      <c r="N519" s="9"/>
    </row>
    <row r="520" spans="1:14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9">
        <f t="shared" si="8"/>
        <v>2</v>
      </c>
      <c r="N520" s="9"/>
    </row>
    <row r="521" spans="1:14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9">
        <f t="shared" si="8"/>
        <v>4</v>
      </c>
      <c r="N521" s="9"/>
    </row>
    <row r="522" spans="1:14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9">
        <f t="shared" si="8"/>
        <v>4</v>
      </c>
      <c r="N522" s="9"/>
    </row>
    <row r="523" spans="1:14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9">
        <f t="shared" si="8"/>
        <v>4</v>
      </c>
      <c r="N523" s="9"/>
    </row>
    <row r="524" spans="1:14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9">
        <f t="shared" si="8"/>
        <v>2</v>
      </c>
      <c r="N524" s="9"/>
    </row>
    <row r="525" spans="1:14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9">
        <f t="shared" si="8"/>
        <v>4</v>
      </c>
      <c r="N525" s="9"/>
    </row>
    <row r="526" spans="1:14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9">
        <f t="shared" si="8"/>
        <v>2</v>
      </c>
      <c r="N526" s="9"/>
    </row>
    <row r="527" spans="1:14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9">
        <f t="shared" si="8"/>
        <v>4</v>
      </c>
      <c r="N527" s="9"/>
    </row>
    <row r="528" spans="1:14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9">
        <f t="shared" si="8"/>
        <v>2</v>
      </c>
      <c r="N528" s="9"/>
    </row>
    <row r="529" spans="1:14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9">
        <f t="shared" si="8"/>
        <v>2</v>
      </c>
      <c r="N529" s="9"/>
    </row>
    <row r="530" spans="1:14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9">
        <f t="shared" si="8"/>
        <v>4</v>
      </c>
      <c r="N530" s="9"/>
    </row>
    <row r="531" spans="1:14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9">
        <f t="shared" si="8"/>
        <v>4</v>
      </c>
      <c r="N531" s="9"/>
    </row>
    <row r="532" spans="1:14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9">
        <f t="shared" si="8"/>
        <v>4</v>
      </c>
      <c r="N532" s="9"/>
    </row>
    <row r="533" spans="1:14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9">
        <f t="shared" si="8"/>
        <v>2</v>
      </c>
      <c r="N533" s="9"/>
    </row>
    <row r="534" spans="1:14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9">
        <f t="shared" si="8"/>
        <v>4</v>
      </c>
      <c r="N534" s="9"/>
    </row>
    <row r="535" spans="1:14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9">
        <f t="shared" si="8"/>
        <v>4</v>
      </c>
      <c r="N535" s="9"/>
    </row>
    <row r="536" spans="1:14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9">
        <f t="shared" si="8"/>
        <v>4</v>
      </c>
      <c r="N536" s="9"/>
    </row>
    <row r="537" spans="1:14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9">
        <f t="shared" si="8"/>
        <v>4</v>
      </c>
      <c r="N537" s="9"/>
    </row>
    <row r="538" spans="1:14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9">
        <f t="shared" si="8"/>
        <v>4</v>
      </c>
      <c r="N538" s="9"/>
    </row>
    <row r="539" spans="1:14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9">
        <f t="shared" si="8"/>
        <v>4</v>
      </c>
      <c r="N539" s="9"/>
    </row>
    <row r="540" spans="1:14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9">
        <f t="shared" si="8"/>
        <v>2</v>
      </c>
      <c r="N540" s="9"/>
    </row>
    <row r="541" spans="1:14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9">
        <f t="shared" si="8"/>
        <v>4</v>
      </c>
      <c r="N541" s="9"/>
    </row>
    <row r="542" spans="1:14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9">
        <f t="shared" si="8"/>
        <v>2</v>
      </c>
      <c r="N542" s="9"/>
    </row>
    <row r="543" spans="1:14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9">
        <f t="shared" si="8"/>
        <v>2</v>
      </c>
      <c r="N543" s="9"/>
    </row>
    <row r="544" spans="1:14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9">
        <f t="shared" si="8"/>
        <v>4</v>
      </c>
      <c r="N544" s="9"/>
    </row>
    <row r="545" spans="1:14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9">
        <f t="shared" si="8"/>
        <v>4</v>
      </c>
      <c r="N545" s="9"/>
    </row>
    <row r="546" spans="1:14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9">
        <f t="shared" si="8"/>
        <v>4</v>
      </c>
      <c r="N546" s="9"/>
    </row>
    <row r="547" spans="1:14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9">
        <f t="shared" si="8"/>
        <v>4</v>
      </c>
      <c r="N547" s="9"/>
    </row>
    <row r="548" spans="1:14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9">
        <f t="shared" si="8"/>
        <v>4</v>
      </c>
      <c r="N548" s="9"/>
    </row>
    <row r="549" spans="1:14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9">
        <f t="shared" si="8"/>
        <v>4</v>
      </c>
      <c r="N549" s="9"/>
    </row>
    <row r="550" spans="1:14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9">
        <f t="shared" si="8"/>
        <v>4</v>
      </c>
      <c r="N550" s="9"/>
    </row>
    <row r="551" spans="1:14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9">
        <f t="shared" si="8"/>
        <v>4</v>
      </c>
      <c r="N551" s="9"/>
    </row>
    <row r="552" spans="1:14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9">
        <f t="shared" si="8"/>
        <v>4</v>
      </c>
      <c r="N552" s="9"/>
    </row>
    <row r="553" spans="1:14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9">
        <f t="shared" si="8"/>
        <v>4</v>
      </c>
      <c r="N553" s="9"/>
    </row>
    <row r="554" spans="1:14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9">
        <f t="shared" si="8"/>
        <v>4</v>
      </c>
      <c r="N554" s="9"/>
    </row>
    <row r="555" spans="1:14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9">
        <f t="shared" si="8"/>
        <v>4</v>
      </c>
      <c r="N555" s="9"/>
    </row>
    <row r="556" spans="1:14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9">
        <f t="shared" si="8"/>
        <v>2</v>
      </c>
      <c r="N556" s="9"/>
    </row>
    <row r="557" spans="1:14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9">
        <f t="shared" si="8"/>
        <v>2</v>
      </c>
      <c r="N557" s="9"/>
    </row>
    <row r="558" spans="1:14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9">
        <f t="shared" si="8"/>
        <v>4</v>
      </c>
      <c r="N558" s="9"/>
    </row>
    <row r="559" spans="1:14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9">
        <f t="shared" si="8"/>
        <v>4</v>
      </c>
      <c r="N559" s="9"/>
    </row>
    <row r="560" spans="1:14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9">
        <f t="shared" si="8"/>
        <v>4</v>
      </c>
      <c r="N560" s="9"/>
    </row>
    <row r="561" spans="1:14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9">
        <f t="shared" si="8"/>
        <v>2</v>
      </c>
      <c r="N561" s="9"/>
    </row>
    <row r="562" spans="1:14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9">
        <f t="shared" si="8"/>
        <v>4</v>
      </c>
      <c r="N562" s="9"/>
    </row>
    <row r="563" spans="1:14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9">
        <f t="shared" si="8"/>
        <v>4</v>
      </c>
      <c r="N563" s="9"/>
    </row>
    <row r="564" spans="1:14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9">
        <f t="shared" si="8"/>
        <v>4</v>
      </c>
      <c r="N564" s="9"/>
    </row>
    <row r="565" spans="1:14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9">
        <f t="shared" si="8"/>
        <v>4</v>
      </c>
      <c r="N565" s="9"/>
    </row>
    <row r="566" spans="1:14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9">
        <f t="shared" si="8"/>
        <v>4</v>
      </c>
      <c r="N566" s="9"/>
    </row>
    <row r="567" spans="1:14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9">
        <f t="shared" si="8"/>
        <v>2</v>
      </c>
      <c r="N567" s="9"/>
    </row>
    <row r="568" spans="1:14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9">
        <f t="shared" si="8"/>
        <v>2</v>
      </c>
      <c r="N568" s="9"/>
    </row>
    <row r="569" spans="1:14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9">
        <f t="shared" si="8"/>
        <v>4</v>
      </c>
      <c r="N569" s="9"/>
    </row>
    <row r="570" spans="1:14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9">
        <f t="shared" si="8"/>
        <v>4</v>
      </c>
      <c r="N570" s="9"/>
    </row>
    <row r="571" spans="1:14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9">
        <f t="shared" si="8"/>
        <v>2</v>
      </c>
      <c r="N571" s="9"/>
    </row>
    <row r="572" spans="1:14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9">
        <f t="shared" si="8"/>
        <v>4</v>
      </c>
      <c r="N572" s="9"/>
    </row>
    <row r="573" spans="1:14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9">
        <f t="shared" si="8"/>
        <v>2</v>
      </c>
      <c r="N573" s="9"/>
    </row>
    <row r="574" spans="1:14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9">
        <f t="shared" si="8"/>
        <v>2</v>
      </c>
      <c r="N574" s="9"/>
    </row>
    <row r="575" spans="1:14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9">
        <f t="shared" si="8"/>
        <v>4</v>
      </c>
      <c r="N575" s="9"/>
    </row>
    <row r="576" spans="1:14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9">
        <f t="shared" si="8"/>
        <v>4</v>
      </c>
      <c r="N576" s="9"/>
    </row>
    <row r="577" spans="1:14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9">
        <f t="shared" si="8"/>
        <v>2</v>
      </c>
      <c r="N577" s="9"/>
    </row>
    <row r="578" spans="1:14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9">
        <f t="shared" si="8"/>
        <v>2</v>
      </c>
      <c r="N578" s="9"/>
    </row>
    <row r="579" spans="1:14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9">
        <f t="shared" ref="M579:M642" si="9">IF(OR(J579="Two-Door Car",J579="Luxury Car",J579="Sports Car"),2,IF(OR(J579="Four-Door Car",J579="SUV",J579="Luxury SUV"),4,""))</f>
        <v>2</v>
      </c>
      <c r="N579" s="9"/>
    </row>
    <row r="580" spans="1:14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9">
        <f t="shared" si="9"/>
        <v>4</v>
      </c>
      <c r="N580" s="9"/>
    </row>
    <row r="581" spans="1:14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9">
        <f t="shared" si="9"/>
        <v>4</v>
      </c>
      <c r="N581" s="9"/>
    </row>
    <row r="582" spans="1:14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9">
        <f t="shared" si="9"/>
        <v>4</v>
      </c>
      <c r="N582" s="9"/>
    </row>
    <row r="583" spans="1:14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9">
        <f t="shared" si="9"/>
        <v>2</v>
      </c>
      <c r="N583" s="9"/>
    </row>
    <row r="584" spans="1:14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9">
        <f t="shared" si="9"/>
        <v>2</v>
      </c>
      <c r="N584" s="9"/>
    </row>
    <row r="585" spans="1:14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9">
        <f t="shared" si="9"/>
        <v>4</v>
      </c>
      <c r="N585" s="9"/>
    </row>
    <row r="586" spans="1:14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9">
        <f t="shared" si="9"/>
        <v>2</v>
      </c>
      <c r="N586" s="9"/>
    </row>
    <row r="587" spans="1:14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9">
        <f t="shared" si="9"/>
        <v>4</v>
      </c>
      <c r="N587" s="9"/>
    </row>
    <row r="588" spans="1:14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9">
        <f t="shared" si="9"/>
        <v>4</v>
      </c>
      <c r="N588" s="9"/>
    </row>
    <row r="589" spans="1:14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9">
        <f t="shared" si="9"/>
        <v>4</v>
      </c>
      <c r="N589" s="9"/>
    </row>
    <row r="590" spans="1:14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9">
        <f t="shared" si="9"/>
        <v>4</v>
      </c>
      <c r="N590" s="9"/>
    </row>
    <row r="591" spans="1:14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9">
        <f t="shared" si="9"/>
        <v>2</v>
      </c>
      <c r="N591" s="9"/>
    </row>
    <row r="592" spans="1:14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9">
        <f t="shared" si="9"/>
        <v>4</v>
      </c>
      <c r="N592" s="9"/>
    </row>
    <row r="593" spans="1:14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9">
        <f t="shared" si="9"/>
        <v>4</v>
      </c>
      <c r="N593" s="9"/>
    </row>
    <row r="594" spans="1:14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9">
        <f t="shared" si="9"/>
        <v>2</v>
      </c>
      <c r="N594" s="9"/>
    </row>
    <row r="595" spans="1:14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9">
        <f t="shared" si="9"/>
        <v>4</v>
      </c>
      <c r="N595" s="9"/>
    </row>
    <row r="596" spans="1:14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9">
        <f t="shared" si="9"/>
        <v>2</v>
      </c>
      <c r="N596" s="9"/>
    </row>
    <row r="597" spans="1:14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9">
        <f t="shared" si="9"/>
        <v>4</v>
      </c>
      <c r="N597" s="9"/>
    </row>
    <row r="598" spans="1:14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9">
        <f t="shared" si="9"/>
        <v>4</v>
      </c>
      <c r="N598" s="9"/>
    </row>
    <row r="599" spans="1:14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9">
        <f t="shared" si="9"/>
        <v>4</v>
      </c>
      <c r="N599" s="9"/>
    </row>
    <row r="600" spans="1:14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9">
        <f t="shared" si="9"/>
        <v>4</v>
      </c>
      <c r="N600" s="9"/>
    </row>
    <row r="601" spans="1:14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9">
        <f t="shared" si="9"/>
        <v>4</v>
      </c>
      <c r="N601" s="9"/>
    </row>
    <row r="602" spans="1:14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9">
        <f t="shared" si="9"/>
        <v>4</v>
      </c>
      <c r="N602" s="9"/>
    </row>
    <row r="603" spans="1:14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9">
        <f t="shared" si="9"/>
        <v>2</v>
      </c>
      <c r="N603" s="9"/>
    </row>
    <row r="604" spans="1:14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9">
        <f t="shared" si="9"/>
        <v>4</v>
      </c>
      <c r="N604" s="9"/>
    </row>
    <row r="605" spans="1:14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9">
        <f t="shared" si="9"/>
        <v>4</v>
      </c>
      <c r="N605" s="9"/>
    </row>
    <row r="606" spans="1:14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9">
        <f t="shared" si="9"/>
        <v>2</v>
      </c>
      <c r="N606" s="9"/>
    </row>
    <row r="607" spans="1:14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9">
        <f t="shared" si="9"/>
        <v>2</v>
      </c>
      <c r="N607" s="9"/>
    </row>
    <row r="608" spans="1:14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9">
        <f t="shared" si="9"/>
        <v>4</v>
      </c>
      <c r="N608" s="9"/>
    </row>
    <row r="609" spans="1:14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9">
        <f t="shared" si="9"/>
        <v>4</v>
      </c>
      <c r="N609" s="9"/>
    </row>
    <row r="610" spans="1:14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9">
        <f t="shared" si="9"/>
        <v>4</v>
      </c>
      <c r="N610" s="9"/>
    </row>
    <row r="611" spans="1:14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9">
        <f t="shared" si="9"/>
        <v>4</v>
      </c>
      <c r="N611" s="9"/>
    </row>
    <row r="612" spans="1:14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9">
        <f t="shared" si="9"/>
        <v>4</v>
      </c>
      <c r="N612" s="9"/>
    </row>
    <row r="613" spans="1:14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9">
        <f t="shared" si="9"/>
        <v>2</v>
      </c>
      <c r="N613" s="9"/>
    </row>
    <row r="614" spans="1:14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9">
        <f t="shared" si="9"/>
        <v>4</v>
      </c>
      <c r="N614" s="9"/>
    </row>
    <row r="615" spans="1:14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9">
        <f t="shared" si="9"/>
        <v>4</v>
      </c>
      <c r="N615" s="9"/>
    </row>
    <row r="616" spans="1:14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9">
        <f t="shared" si="9"/>
        <v>4</v>
      </c>
      <c r="N616" s="9"/>
    </row>
    <row r="617" spans="1:14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9">
        <f t="shared" si="9"/>
        <v>4</v>
      </c>
      <c r="N617" s="9"/>
    </row>
    <row r="618" spans="1:14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9">
        <f t="shared" si="9"/>
        <v>4</v>
      </c>
      <c r="N618" s="9"/>
    </row>
    <row r="619" spans="1:14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9">
        <f t="shared" si="9"/>
        <v>4</v>
      </c>
      <c r="N619" s="9"/>
    </row>
    <row r="620" spans="1:14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9">
        <f t="shared" si="9"/>
        <v>4</v>
      </c>
      <c r="N620" s="9"/>
    </row>
    <row r="621" spans="1:14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9">
        <f t="shared" si="9"/>
        <v>4</v>
      </c>
      <c r="N621" s="9"/>
    </row>
    <row r="622" spans="1:14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9">
        <f t="shared" si="9"/>
        <v>4</v>
      </c>
      <c r="N622" s="9"/>
    </row>
    <row r="623" spans="1:14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9">
        <f t="shared" si="9"/>
        <v>4</v>
      </c>
      <c r="N623" s="9"/>
    </row>
    <row r="624" spans="1:14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9">
        <f t="shared" si="9"/>
        <v>2</v>
      </c>
      <c r="N624" s="9"/>
    </row>
    <row r="625" spans="1:14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9">
        <f t="shared" si="9"/>
        <v>2</v>
      </c>
      <c r="N625" s="9"/>
    </row>
    <row r="626" spans="1:14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9">
        <f t="shared" si="9"/>
        <v>4</v>
      </c>
      <c r="N626" s="9"/>
    </row>
    <row r="627" spans="1:14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9">
        <f t="shared" si="9"/>
        <v>4</v>
      </c>
      <c r="N627" s="9"/>
    </row>
    <row r="628" spans="1:14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9">
        <f t="shared" si="9"/>
        <v>2</v>
      </c>
      <c r="N628" s="9"/>
    </row>
    <row r="629" spans="1:14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9">
        <f t="shared" si="9"/>
        <v>2</v>
      </c>
      <c r="N629" s="9"/>
    </row>
    <row r="630" spans="1:14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9">
        <f t="shared" si="9"/>
        <v>2</v>
      </c>
      <c r="N630" s="9"/>
    </row>
    <row r="631" spans="1:14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9">
        <f t="shared" si="9"/>
        <v>4</v>
      </c>
      <c r="N631" s="9"/>
    </row>
    <row r="632" spans="1:14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9">
        <f t="shared" si="9"/>
        <v>4</v>
      </c>
      <c r="N632" s="9"/>
    </row>
    <row r="633" spans="1:14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9">
        <f t="shared" si="9"/>
        <v>4</v>
      </c>
      <c r="N633" s="9"/>
    </row>
    <row r="634" spans="1:14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9">
        <f t="shared" si="9"/>
        <v>4</v>
      </c>
      <c r="N634" s="9"/>
    </row>
    <row r="635" spans="1:14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9">
        <f t="shared" si="9"/>
        <v>4</v>
      </c>
      <c r="N635" s="9"/>
    </row>
    <row r="636" spans="1:14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9">
        <f t="shared" si="9"/>
        <v>4</v>
      </c>
      <c r="N636" s="9"/>
    </row>
    <row r="637" spans="1:14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9">
        <f t="shared" si="9"/>
        <v>4</v>
      </c>
      <c r="N637" s="9"/>
    </row>
    <row r="638" spans="1:14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9">
        <f t="shared" si="9"/>
        <v>4</v>
      </c>
      <c r="N638" s="9"/>
    </row>
    <row r="639" spans="1:14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9">
        <f t="shared" si="9"/>
        <v>4</v>
      </c>
      <c r="N639" s="9"/>
    </row>
    <row r="640" spans="1:14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9">
        <f t="shared" si="9"/>
        <v>2</v>
      </c>
      <c r="N640" s="9"/>
    </row>
    <row r="641" spans="1:14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9">
        <f t="shared" si="9"/>
        <v>4</v>
      </c>
      <c r="N641" s="9"/>
    </row>
    <row r="642" spans="1:14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9">
        <f t="shared" si="9"/>
        <v>4</v>
      </c>
      <c r="N642" s="9"/>
    </row>
    <row r="643" spans="1:14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9">
        <f t="shared" ref="M643:M706" si="10">IF(OR(J643="Two-Door Car",J643="Luxury Car",J643="Sports Car"),2,IF(OR(J643="Four-Door Car",J643="SUV",J643="Luxury SUV"),4,""))</f>
        <v>4</v>
      </c>
      <c r="N643" s="9"/>
    </row>
    <row r="644" spans="1:14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9">
        <f t="shared" si="10"/>
        <v>4</v>
      </c>
      <c r="N644" s="9"/>
    </row>
    <row r="645" spans="1:14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9">
        <f t="shared" si="10"/>
        <v>2</v>
      </c>
      <c r="N645" s="9"/>
    </row>
    <row r="646" spans="1:14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9">
        <f t="shared" si="10"/>
        <v>4</v>
      </c>
      <c r="N646" s="9"/>
    </row>
    <row r="647" spans="1:14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9">
        <f t="shared" si="10"/>
        <v>4</v>
      </c>
      <c r="N647" s="9"/>
    </row>
    <row r="648" spans="1:14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9">
        <f t="shared" si="10"/>
        <v>4</v>
      </c>
      <c r="N648" s="9"/>
    </row>
    <row r="649" spans="1:14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9">
        <f t="shared" si="10"/>
        <v>2</v>
      </c>
      <c r="N649" s="9"/>
    </row>
    <row r="650" spans="1:14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9">
        <f t="shared" si="10"/>
        <v>4</v>
      </c>
      <c r="N650" s="9"/>
    </row>
    <row r="651" spans="1:14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9">
        <f t="shared" si="10"/>
        <v>4</v>
      </c>
      <c r="N651" s="9"/>
    </row>
    <row r="652" spans="1:14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9">
        <f t="shared" si="10"/>
        <v>4</v>
      </c>
      <c r="N652" s="9"/>
    </row>
    <row r="653" spans="1:14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9">
        <f t="shared" si="10"/>
        <v>4</v>
      </c>
      <c r="N653" s="9"/>
    </row>
    <row r="654" spans="1:14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9">
        <f t="shared" si="10"/>
        <v>2</v>
      </c>
      <c r="N654" s="9"/>
    </row>
    <row r="655" spans="1:14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9">
        <f t="shared" si="10"/>
        <v>4</v>
      </c>
      <c r="N655" s="9"/>
    </row>
    <row r="656" spans="1:14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9">
        <f t="shared" si="10"/>
        <v>2</v>
      </c>
      <c r="N656" s="9"/>
    </row>
    <row r="657" spans="1:14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9">
        <f t="shared" si="10"/>
        <v>2</v>
      </c>
      <c r="N657" s="9"/>
    </row>
    <row r="658" spans="1:14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9">
        <f t="shared" si="10"/>
        <v>4</v>
      </c>
      <c r="N658" s="9"/>
    </row>
    <row r="659" spans="1:14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9">
        <f t="shared" si="10"/>
        <v>4</v>
      </c>
      <c r="N659" s="9"/>
    </row>
    <row r="660" spans="1:14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9">
        <f t="shared" si="10"/>
        <v>2</v>
      </c>
      <c r="N660" s="9"/>
    </row>
    <row r="661" spans="1:14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9">
        <f t="shared" si="10"/>
        <v>2</v>
      </c>
      <c r="N661" s="9"/>
    </row>
    <row r="662" spans="1:14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9">
        <f t="shared" si="10"/>
        <v>4</v>
      </c>
      <c r="N662" s="9"/>
    </row>
    <row r="663" spans="1:14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9">
        <f t="shared" si="10"/>
        <v>4</v>
      </c>
      <c r="N663" s="9"/>
    </row>
    <row r="664" spans="1:14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9">
        <f t="shared" si="10"/>
        <v>4</v>
      </c>
      <c r="N664" s="9"/>
    </row>
    <row r="665" spans="1:14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9">
        <f t="shared" si="10"/>
        <v>4</v>
      </c>
      <c r="N665" s="9"/>
    </row>
    <row r="666" spans="1:14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9">
        <f t="shared" si="10"/>
        <v>4</v>
      </c>
      <c r="N666" s="9"/>
    </row>
    <row r="667" spans="1:14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9">
        <f t="shared" si="10"/>
        <v>4</v>
      </c>
      <c r="N667" s="9"/>
    </row>
    <row r="668" spans="1:14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9">
        <f t="shared" si="10"/>
        <v>2</v>
      </c>
      <c r="N668" s="9"/>
    </row>
    <row r="669" spans="1:14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9">
        <f t="shared" si="10"/>
        <v>2</v>
      </c>
      <c r="N669" s="9"/>
    </row>
    <row r="670" spans="1:14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9">
        <f t="shared" si="10"/>
        <v>4</v>
      </c>
      <c r="N670" s="9"/>
    </row>
    <row r="671" spans="1:14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9">
        <f t="shared" si="10"/>
        <v>4</v>
      </c>
      <c r="N671" s="9"/>
    </row>
    <row r="672" spans="1:14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9">
        <f t="shared" si="10"/>
        <v>4</v>
      </c>
      <c r="N672" s="9"/>
    </row>
    <row r="673" spans="1:14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9">
        <f t="shared" si="10"/>
        <v>4</v>
      </c>
      <c r="N673" s="9"/>
    </row>
    <row r="674" spans="1:14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9">
        <f t="shared" si="10"/>
        <v>2</v>
      </c>
      <c r="N674" s="9"/>
    </row>
    <row r="675" spans="1:14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9">
        <f t="shared" si="10"/>
        <v>4</v>
      </c>
      <c r="N675" s="9"/>
    </row>
    <row r="676" spans="1:14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9">
        <f t="shared" si="10"/>
        <v>4</v>
      </c>
      <c r="N676" s="9"/>
    </row>
    <row r="677" spans="1:14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9">
        <f t="shared" si="10"/>
        <v>4</v>
      </c>
      <c r="N677" s="9"/>
    </row>
    <row r="678" spans="1:14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9">
        <f t="shared" si="10"/>
        <v>4</v>
      </c>
      <c r="N678" s="9"/>
    </row>
    <row r="679" spans="1:14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9">
        <f t="shared" si="10"/>
        <v>4</v>
      </c>
      <c r="N679" s="9"/>
    </row>
    <row r="680" spans="1:14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9">
        <f t="shared" si="10"/>
        <v>4</v>
      </c>
      <c r="N680" s="9"/>
    </row>
    <row r="681" spans="1:14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9">
        <f t="shared" si="10"/>
        <v>4</v>
      </c>
      <c r="N681" s="9"/>
    </row>
    <row r="682" spans="1:14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9">
        <f t="shared" si="10"/>
        <v>2</v>
      </c>
      <c r="N682" s="9"/>
    </row>
    <row r="683" spans="1:14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9">
        <f t="shared" si="10"/>
        <v>4</v>
      </c>
      <c r="N683" s="9"/>
    </row>
    <row r="684" spans="1:14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9">
        <f t="shared" si="10"/>
        <v>4</v>
      </c>
      <c r="N684" s="9"/>
    </row>
    <row r="685" spans="1:14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9">
        <f t="shared" si="10"/>
        <v>4</v>
      </c>
      <c r="N685" s="9"/>
    </row>
    <row r="686" spans="1:14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9">
        <f t="shared" si="10"/>
        <v>4</v>
      </c>
      <c r="N686" s="9"/>
    </row>
    <row r="687" spans="1:14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9">
        <f t="shared" si="10"/>
        <v>2</v>
      </c>
      <c r="N687" s="9"/>
    </row>
    <row r="688" spans="1:14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9">
        <f t="shared" si="10"/>
        <v>4</v>
      </c>
      <c r="N688" s="9"/>
    </row>
    <row r="689" spans="1:14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9">
        <f t="shared" si="10"/>
        <v>4</v>
      </c>
      <c r="N689" s="9"/>
    </row>
    <row r="690" spans="1:14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9">
        <f t="shared" si="10"/>
        <v>2</v>
      </c>
      <c r="N690" s="9"/>
    </row>
    <row r="691" spans="1:14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9">
        <f t="shared" si="10"/>
        <v>4</v>
      </c>
      <c r="N691" s="9"/>
    </row>
    <row r="692" spans="1:14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9">
        <f t="shared" si="10"/>
        <v>2</v>
      </c>
      <c r="N692" s="9"/>
    </row>
    <row r="693" spans="1:14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9">
        <f t="shared" si="10"/>
        <v>4</v>
      </c>
      <c r="N693" s="9"/>
    </row>
    <row r="694" spans="1:14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9">
        <f t="shared" si="10"/>
        <v>4</v>
      </c>
      <c r="N694" s="9"/>
    </row>
    <row r="695" spans="1:14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9">
        <f t="shared" si="10"/>
        <v>2</v>
      </c>
      <c r="N695" s="9"/>
    </row>
    <row r="696" spans="1:14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9">
        <f t="shared" si="10"/>
        <v>2</v>
      </c>
      <c r="N696" s="9"/>
    </row>
    <row r="697" spans="1:14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9">
        <f t="shared" si="10"/>
        <v>4</v>
      </c>
      <c r="N697" s="9"/>
    </row>
    <row r="698" spans="1:14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9">
        <f t="shared" si="10"/>
        <v>4</v>
      </c>
      <c r="N698" s="9"/>
    </row>
    <row r="699" spans="1:14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9">
        <f t="shared" si="10"/>
        <v>2</v>
      </c>
      <c r="N699" s="9"/>
    </row>
    <row r="700" spans="1:14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9">
        <f t="shared" si="10"/>
        <v>4</v>
      </c>
      <c r="N700" s="9"/>
    </row>
    <row r="701" spans="1:14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9">
        <f t="shared" si="10"/>
        <v>4</v>
      </c>
      <c r="N701" s="9"/>
    </row>
    <row r="702" spans="1:14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9">
        <f t="shared" si="10"/>
        <v>4</v>
      </c>
      <c r="N702" s="9"/>
    </row>
    <row r="703" spans="1:14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9">
        <f t="shared" si="10"/>
        <v>2</v>
      </c>
      <c r="N703" s="9"/>
    </row>
    <row r="704" spans="1:14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9">
        <f t="shared" si="10"/>
        <v>4</v>
      </c>
      <c r="N704" s="9"/>
    </row>
    <row r="705" spans="1:14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9">
        <f t="shared" si="10"/>
        <v>4</v>
      </c>
      <c r="N705" s="9"/>
    </row>
    <row r="706" spans="1:14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9">
        <f t="shared" si="10"/>
        <v>2</v>
      </c>
      <c r="N706" s="9"/>
    </row>
    <row r="707" spans="1:14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9">
        <f t="shared" ref="M707:M770" si="11">IF(OR(J707="Two-Door Car",J707="Luxury Car",J707="Sports Car"),2,IF(OR(J707="Four-Door Car",J707="SUV",J707="Luxury SUV"),4,""))</f>
        <v>4</v>
      </c>
      <c r="N707" s="9"/>
    </row>
    <row r="708" spans="1:14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9">
        <f t="shared" si="11"/>
        <v>4</v>
      </c>
      <c r="N708" s="9"/>
    </row>
    <row r="709" spans="1:14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9">
        <f t="shared" si="11"/>
        <v>2</v>
      </c>
      <c r="N709" s="9"/>
    </row>
    <row r="710" spans="1:14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9">
        <f t="shared" si="11"/>
        <v>4</v>
      </c>
      <c r="N710" s="9"/>
    </row>
    <row r="711" spans="1:14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9">
        <f t="shared" si="11"/>
        <v>4</v>
      </c>
      <c r="N711" s="9"/>
    </row>
    <row r="712" spans="1:14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9">
        <f t="shared" si="11"/>
        <v>4</v>
      </c>
      <c r="N712" s="9"/>
    </row>
    <row r="713" spans="1:14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9">
        <f t="shared" si="11"/>
        <v>2</v>
      </c>
      <c r="N713" s="9"/>
    </row>
    <row r="714" spans="1:14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9">
        <f t="shared" si="11"/>
        <v>4</v>
      </c>
      <c r="N714" s="9"/>
    </row>
    <row r="715" spans="1:14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9">
        <f t="shared" si="11"/>
        <v>4</v>
      </c>
      <c r="N715" s="9"/>
    </row>
    <row r="716" spans="1:14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9">
        <f t="shared" si="11"/>
        <v>4</v>
      </c>
      <c r="N716" s="9"/>
    </row>
    <row r="717" spans="1:14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9">
        <f t="shared" si="11"/>
        <v>2</v>
      </c>
      <c r="N717" s="9"/>
    </row>
    <row r="718" spans="1:14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9">
        <f t="shared" si="11"/>
        <v>4</v>
      </c>
      <c r="N718" s="9"/>
    </row>
    <row r="719" spans="1:14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9">
        <f t="shared" si="11"/>
        <v>4</v>
      </c>
      <c r="N719" s="9"/>
    </row>
    <row r="720" spans="1:14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9">
        <f t="shared" si="11"/>
        <v>2</v>
      </c>
      <c r="N720" s="9"/>
    </row>
    <row r="721" spans="1:14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9">
        <f t="shared" si="11"/>
        <v>4</v>
      </c>
      <c r="N721" s="9"/>
    </row>
    <row r="722" spans="1:14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9">
        <f t="shared" si="11"/>
        <v>4</v>
      </c>
      <c r="N722" s="9"/>
    </row>
    <row r="723" spans="1:14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9">
        <f t="shared" si="11"/>
        <v>2</v>
      </c>
      <c r="N723" s="9"/>
    </row>
    <row r="724" spans="1:14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9">
        <f t="shared" si="11"/>
        <v>4</v>
      </c>
      <c r="N724" s="9"/>
    </row>
    <row r="725" spans="1:14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9">
        <f t="shared" si="11"/>
        <v>4</v>
      </c>
      <c r="N725" s="9"/>
    </row>
    <row r="726" spans="1:14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9">
        <f t="shared" si="11"/>
        <v>4</v>
      </c>
      <c r="N726" s="9"/>
    </row>
    <row r="727" spans="1:14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9">
        <f t="shared" si="11"/>
        <v>4</v>
      </c>
      <c r="N727" s="9"/>
    </row>
    <row r="728" spans="1:14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9">
        <f t="shared" si="11"/>
        <v>2</v>
      </c>
      <c r="N728" s="9"/>
    </row>
    <row r="729" spans="1:14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9">
        <f t="shared" si="11"/>
        <v>4</v>
      </c>
      <c r="N729" s="9"/>
    </row>
    <row r="730" spans="1:14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9">
        <f t="shared" si="11"/>
        <v>4</v>
      </c>
      <c r="N730" s="9"/>
    </row>
    <row r="731" spans="1:14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9">
        <f t="shared" si="11"/>
        <v>4</v>
      </c>
      <c r="N731" s="9"/>
    </row>
    <row r="732" spans="1:14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9">
        <f t="shared" si="11"/>
        <v>4</v>
      </c>
      <c r="N732" s="9"/>
    </row>
    <row r="733" spans="1:14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9">
        <f t="shared" si="11"/>
        <v>2</v>
      </c>
      <c r="N733" s="9"/>
    </row>
    <row r="734" spans="1:14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9">
        <f t="shared" si="11"/>
        <v>4</v>
      </c>
      <c r="N734" s="9"/>
    </row>
    <row r="735" spans="1:14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9">
        <f t="shared" si="11"/>
        <v>2</v>
      </c>
      <c r="N735" s="9"/>
    </row>
    <row r="736" spans="1:14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9">
        <f t="shared" si="11"/>
        <v>4</v>
      </c>
      <c r="N736" s="9"/>
    </row>
    <row r="737" spans="1:14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9">
        <f t="shared" si="11"/>
        <v>4</v>
      </c>
      <c r="N737" s="9"/>
    </row>
    <row r="738" spans="1:14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9">
        <f t="shared" si="11"/>
        <v>4</v>
      </c>
      <c r="N738" s="9"/>
    </row>
    <row r="739" spans="1:14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9">
        <f t="shared" si="11"/>
        <v>2</v>
      </c>
      <c r="N739" s="9"/>
    </row>
    <row r="740" spans="1:14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9">
        <f t="shared" si="11"/>
        <v>2</v>
      </c>
      <c r="N740" s="9"/>
    </row>
    <row r="741" spans="1:14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9">
        <f t="shared" si="11"/>
        <v>4</v>
      </c>
      <c r="N741" s="9"/>
    </row>
    <row r="742" spans="1:14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9">
        <f t="shared" si="11"/>
        <v>4</v>
      </c>
      <c r="N742" s="9"/>
    </row>
    <row r="743" spans="1:14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9">
        <f t="shared" si="11"/>
        <v>2</v>
      </c>
      <c r="N743" s="9"/>
    </row>
    <row r="744" spans="1:14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9">
        <f t="shared" si="11"/>
        <v>4</v>
      </c>
      <c r="N744" s="9"/>
    </row>
    <row r="745" spans="1:14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9">
        <f t="shared" si="11"/>
        <v>4</v>
      </c>
      <c r="N745" s="9"/>
    </row>
    <row r="746" spans="1:14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9">
        <f t="shared" si="11"/>
        <v>4</v>
      </c>
      <c r="N746" s="9"/>
    </row>
    <row r="747" spans="1:14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9">
        <f t="shared" si="11"/>
        <v>4</v>
      </c>
      <c r="N747" s="9"/>
    </row>
    <row r="748" spans="1:14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9">
        <f t="shared" si="11"/>
        <v>2</v>
      </c>
      <c r="N748" s="9"/>
    </row>
    <row r="749" spans="1:14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9">
        <f t="shared" si="11"/>
        <v>4</v>
      </c>
      <c r="N749" s="9"/>
    </row>
    <row r="750" spans="1:14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9">
        <f t="shared" si="11"/>
        <v>4</v>
      </c>
      <c r="N750" s="9"/>
    </row>
    <row r="751" spans="1:14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9">
        <f t="shared" si="11"/>
        <v>4</v>
      </c>
      <c r="N751" s="9"/>
    </row>
    <row r="752" spans="1:14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9">
        <f t="shared" si="11"/>
        <v>4</v>
      </c>
      <c r="N752" s="9"/>
    </row>
    <row r="753" spans="1:14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9">
        <f t="shared" si="11"/>
        <v>2</v>
      </c>
      <c r="N753" s="9"/>
    </row>
    <row r="754" spans="1:14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9">
        <f t="shared" si="11"/>
        <v>2</v>
      </c>
      <c r="N754" s="9"/>
    </row>
    <row r="755" spans="1:14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9">
        <f t="shared" si="11"/>
        <v>4</v>
      </c>
      <c r="N755" s="9"/>
    </row>
    <row r="756" spans="1:14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9">
        <f t="shared" si="11"/>
        <v>4</v>
      </c>
      <c r="N756" s="9"/>
    </row>
    <row r="757" spans="1:14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9">
        <f t="shared" si="11"/>
        <v>4</v>
      </c>
      <c r="N757" s="9"/>
    </row>
    <row r="758" spans="1:14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9">
        <f t="shared" si="11"/>
        <v>4</v>
      </c>
      <c r="N758" s="9"/>
    </row>
    <row r="759" spans="1:14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9">
        <f t="shared" si="11"/>
        <v>4</v>
      </c>
      <c r="N759" s="9"/>
    </row>
    <row r="760" spans="1:14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9">
        <f t="shared" si="11"/>
        <v>4</v>
      </c>
      <c r="N760" s="9"/>
    </row>
    <row r="761" spans="1:14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9">
        <f t="shared" si="11"/>
        <v>4</v>
      </c>
      <c r="N761" s="9"/>
    </row>
    <row r="762" spans="1:14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9">
        <f t="shared" si="11"/>
        <v>4</v>
      </c>
      <c r="N762" s="9"/>
    </row>
    <row r="763" spans="1:14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9">
        <f t="shared" si="11"/>
        <v>2</v>
      </c>
      <c r="N763" s="9"/>
    </row>
    <row r="764" spans="1:14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9">
        <f t="shared" si="11"/>
        <v>2</v>
      </c>
      <c r="N764" s="9"/>
    </row>
    <row r="765" spans="1:14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9">
        <f t="shared" si="11"/>
        <v>2</v>
      </c>
      <c r="N765" s="9"/>
    </row>
    <row r="766" spans="1:14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9">
        <f t="shared" si="11"/>
        <v>2</v>
      </c>
      <c r="N766" s="9"/>
    </row>
    <row r="767" spans="1:14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9">
        <f t="shared" si="11"/>
        <v>4</v>
      </c>
      <c r="N767" s="9"/>
    </row>
    <row r="768" spans="1:14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9">
        <f t="shared" si="11"/>
        <v>2</v>
      </c>
      <c r="N768" s="9"/>
    </row>
    <row r="769" spans="1:14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9">
        <f t="shared" si="11"/>
        <v>2</v>
      </c>
      <c r="N769" s="9"/>
    </row>
    <row r="770" spans="1:14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9">
        <f t="shared" si="11"/>
        <v>4</v>
      </c>
      <c r="N770" s="9"/>
    </row>
    <row r="771" spans="1:14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9">
        <f t="shared" ref="M771:M834" si="12">IF(OR(J771="Two-Door Car",J771="Luxury Car",J771="Sports Car"),2,IF(OR(J771="Four-Door Car",J771="SUV",J771="Luxury SUV"),4,""))</f>
        <v>4</v>
      </c>
      <c r="N771" s="9"/>
    </row>
    <row r="772" spans="1:14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9">
        <f t="shared" si="12"/>
        <v>2</v>
      </c>
      <c r="N772" s="9"/>
    </row>
    <row r="773" spans="1:14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9">
        <f t="shared" si="12"/>
        <v>2</v>
      </c>
      <c r="N773" s="9"/>
    </row>
    <row r="774" spans="1:14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9">
        <f t="shared" si="12"/>
        <v>4</v>
      </c>
      <c r="N774" s="9"/>
    </row>
    <row r="775" spans="1:14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9">
        <f t="shared" si="12"/>
        <v>4</v>
      </c>
      <c r="N775" s="9"/>
    </row>
    <row r="776" spans="1:14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9">
        <f t="shared" si="12"/>
        <v>2</v>
      </c>
      <c r="N776" s="9"/>
    </row>
    <row r="777" spans="1:14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9">
        <f t="shared" si="12"/>
        <v>2</v>
      </c>
      <c r="N777" s="9"/>
    </row>
    <row r="778" spans="1:14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9">
        <f t="shared" si="12"/>
        <v>4</v>
      </c>
      <c r="N778" s="9"/>
    </row>
    <row r="779" spans="1:14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9">
        <f t="shared" si="12"/>
        <v>4</v>
      </c>
      <c r="N779" s="9"/>
    </row>
    <row r="780" spans="1:14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9">
        <f t="shared" si="12"/>
        <v>4</v>
      </c>
      <c r="N780" s="9"/>
    </row>
    <row r="781" spans="1:14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9">
        <f t="shared" si="12"/>
        <v>4</v>
      </c>
      <c r="N781" s="9"/>
    </row>
    <row r="782" spans="1:14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9">
        <f t="shared" si="12"/>
        <v>4</v>
      </c>
      <c r="N782" s="9"/>
    </row>
    <row r="783" spans="1:14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9">
        <f t="shared" si="12"/>
        <v>4</v>
      </c>
      <c r="N783" s="9"/>
    </row>
    <row r="784" spans="1:14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9">
        <f t="shared" si="12"/>
        <v>4</v>
      </c>
      <c r="N784" s="9"/>
    </row>
    <row r="785" spans="1:14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9">
        <f t="shared" si="12"/>
        <v>4</v>
      </c>
      <c r="N785" s="9"/>
    </row>
    <row r="786" spans="1:14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9">
        <f t="shared" si="12"/>
        <v>4</v>
      </c>
      <c r="N786" s="9"/>
    </row>
    <row r="787" spans="1:14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9">
        <f t="shared" si="12"/>
        <v>4</v>
      </c>
      <c r="N787" s="9"/>
    </row>
    <row r="788" spans="1:14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9">
        <f t="shared" si="12"/>
        <v>4</v>
      </c>
      <c r="N788" s="9"/>
    </row>
    <row r="789" spans="1:14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9">
        <f t="shared" si="12"/>
        <v>2</v>
      </c>
      <c r="N789" s="9"/>
    </row>
    <row r="790" spans="1:14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9">
        <f t="shared" si="12"/>
        <v>4</v>
      </c>
      <c r="N790" s="9"/>
    </row>
    <row r="791" spans="1:14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9">
        <f t="shared" si="12"/>
        <v>4</v>
      </c>
      <c r="N791" s="9"/>
    </row>
    <row r="792" spans="1:14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9">
        <f t="shared" si="12"/>
        <v>4</v>
      </c>
      <c r="N792" s="9"/>
    </row>
    <row r="793" spans="1:14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9">
        <f t="shared" si="12"/>
        <v>2</v>
      </c>
      <c r="N793" s="9"/>
    </row>
    <row r="794" spans="1:14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9">
        <f t="shared" si="12"/>
        <v>2</v>
      </c>
      <c r="N794" s="9"/>
    </row>
    <row r="795" spans="1:14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9">
        <f t="shared" si="12"/>
        <v>2</v>
      </c>
      <c r="N795" s="9"/>
    </row>
    <row r="796" spans="1:14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9">
        <f t="shared" si="12"/>
        <v>4</v>
      </c>
      <c r="N796" s="9"/>
    </row>
    <row r="797" spans="1:14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9">
        <f t="shared" si="12"/>
        <v>4</v>
      </c>
      <c r="N797" s="9"/>
    </row>
    <row r="798" spans="1:14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9">
        <f t="shared" si="12"/>
        <v>4</v>
      </c>
      <c r="N798" s="9"/>
    </row>
    <row r="799" spans="1:14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9">
        <f t="shared" si="12"/>
        <v>4</v>
      </c>
      <c r="N799" s="9"/>
    </row>
    <row r="800" spans="1:14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9">
        <f t="shared" si="12"/>
        <v>4</v>
      </c>
      <c r="N800" s="9"/>
    </row>
    <row r="801" spans="1:14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9">
        <f t="shared" si="12"/>
        <v>2</v>
      </c>
      <c r="N801" s="9"/>
    </row>
    <row r="802" spans="1:14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9">
        <f t="shared" si="12"/>
        <v>4</v>
      </c>
      <c r="N802" s="9"/>
    </row>
    <row r="803" spans="1:14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9">
        <f t="shared" si="12"/>
        <v>4</v>
      </c>
      <c r="N803" s="9"/>
    </row>
    <row r="804" spans="1:14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9">
        <f t="shared" si="12"/>
        <v>4</v>
      </c>
      <c r="N804" s="9"/>
    </row>
    <row r="805" spans="1:14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9">
        <f t="shared" si="12"/>
        <v>4</v>
      </c>
      <c r="N805" s="9"/>
    </row>
    <row r="806" spans="1:14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9">
        <f t="shared" si="12"/>
        <v>4</v>
      </c>
      <c r="N806" s="9"/>
    </row>
    <row r="807" spans="1:14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9">
        <f t="shared" si="12"/>
        <v>4</v>
      </c>
      <c r="N807" s="9"/>
    </row>
    <row r="808" spans="1:14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9">
        <f t="shared" si="12"/>
        <v>4</v>
      </c>
      <c r="N808" s="9"/>
    </row>
    <row r="809" spans="1:14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9">
        <f t="shared" si="12"/>
        <v>4</v>
      </c>
      <c r="N809" s="9"/>
    </row>
    <row r="810" spans="1:14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9">
        <f t="shared" si="12"/>
        <v>4</v>
      </c>
      <c r="N810" s="9"/>
    </row>
    <row r="811" spans="1:14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9">
        <f t="shared" si="12"/>
        <v>4</v>
      </c>
      <c r="N811" s="9"/>
    </row>
    <row r="812" spans="1:14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9">
        <f t="shared" si="12"/>
        <v>2</v>
      </c>
      <c r="N812" s="9"/>
    </row>
    <row r="813" spans="1:14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9">
        <f t="shared" si="12"/>
        <v>4</v>
      </c>
      <c r="N813" s="9"/>
    </row>
    <row r="814" spans="1:14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9">
        <f t="shared" si="12"/>
        <v>4</v>
      </c>
      <c r="N814" s="9"/>
    </row>
    <row r="815" spans="1:14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9">
        <f t="shared" si="12"/>
        <v>2</v>
      </c>
      <c r="N815" s="9"/>
    </row>
    <row r="816" spans="1:14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9">
        <f t="shared" si="12"/>
        <v>4</v>
      </c>
      <c r="N816" s="9"/>
    </row>
    <row r="817" spans="1:14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9">
        <f t="shared" si="12"/>
        <v>4</v>
      </c>
      <c r="N817" s="9"/>
    </row>
    <row r="818" spans="1:14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9">
        <f t="shared" si="12"/>
        <v>4</v>
      </c>
      <c r="N818" s="9"/>
    </row>
    <row r="819" spans="1:14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9">
        <f t="shared" si="12"/>
        <v>2</v>
      </c>
      <c r="N819" s="9"/>
    </row>
    <row r="820" spans="1:14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9">
        <f t="shared" si="12"/>
        <v>4</v>
      </c>
      <c r="N820" s="9"/>
    </row>
    <row r="821" spans="1:14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9">
        <f t="shared" si="12"/>
        <v>4</v>
      </c>
      <c r="N821" s="9"/>
    </row>
    <row r="822" spans="1:14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9">
        <f t="shared" si="12"/>
        <v>2</v>
      </c>
      <c r="N822" s="9"/>
    </row>
    <row r="823" spans="1:14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9">
        <f t="shared" si="12"/>
        <v>2</v>
      </c>
      <c r="N823" s="9"/>
    </row>
    <row r="824" spans="1:14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9">
        <f t="shared" si="12"/>
        <v>4</v>
      </c>
      <c r="N824" s="9"/>
    </row>
    <row r="825" spans="1:14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9">
        <f t="shared" si="12"/>
        <v>4</v>
      </c>
      <c r="N825" s="9"/>
    </row>
    <row r="826" spans="1:14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9">
        <f t="shared" si="12"/>
        <v>4</v>
      </c>
      <c r="N826" s="9"/>
    </row>
    <row r="827" spans="1:14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9">
        <f t="shared" si="12"/>
        <v>4</v>
      </c>
      <c r="N827" s="9"/>
    </row>
    <row r="828" spans="1:14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9">
        <f t="shared" si="12"/>
        <v>4</v>
      </c>
      <c r="N828" s="9"/>
    </row>
    <row r="829" spans="1:14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9">
        <f t="shared" si="12"/>
        <v>4</v>
      </c>
      <c r="N829" s="9"/>
    </row>
    <row r="830" spans="1:14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9">
        <f t="shared" si="12"/>
        <v>4</v>
      </c>
      <c r="N830" s="9"/>
    </row>
    <row r="831" spans="1:14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9">
        <f t="shared" si="12"/>
        <v>4</v>
      </c>
      <c r="N831" s="9"/>
    </row>
    <row r="832" spans="1:14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9">
        <f t="shared" si="12"/>
        <v>4</v>
      </c>
      <c r="N832" s="9"/>
    </row>
    <row r="833" spans="1:14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9">
        <f t="shared" si="12"/>
        <v>4</v>
      </c>
      <c r="N833" s="9"/>
    </row>
    <row r="834" spans="1:14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9">
        <f t="shared" si="12"/>
        <v>2</v>
      </c>
      <c r="N834" s="9"/>
    </row>
    <row r="835" spans="1:14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9">
        <f t="shared" ref="M835:M898" si="13">IF(OR(J835="Two-Door Car",J835="Luxury Car",J835="Sports Car"),2,IF(OR(J835="Four-Door Car",J835="SUV",J835="Luxury SUV"),4,""))</f>
        <v>4</v>
      </c>
      <c r="N835" s="9"/>
    </row>
    <row r="836" spans="1:14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9">
        <f t="shared" si="13"/>
        <v>4</v>
      </c>
      <c r="N836" s="9"/>
    </row>
    <row r="837" spans="1:14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9">
        <f t="shared" si="13"/>
        <v>4</v>
      </c>
      <c r="N837" s="9"/>
    </row>
    <row r="838" spans="1:14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9">
        <f t="shared" si="13"/>
        <v>4</v>
      </c>
      <c r="N838" s="9"/>
    </row>
    <row r="839" spans="1:14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9">
        <f t="shared" si="13"/>
        <v>2</v>
      </c>
      <c r="N839" s="9"/>
    </row>
    <row r="840" spans="1:14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9">
        <f t="shared" si="13"/>
        <v>4</v>
      </c>
      <c r="N840" s="9"/>
    </row>
    <row r="841" spans="1:14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9">
        <f t="shared" si="13"/>
        <v>4</v>
      </c>
      <c r="N841" s="9"/>
    </row>
    <row r="842" spans="1:14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9">
        <f t="shared" si="13"/>
        <v>4</v>
      </c>
      <c r="N842" s="9"/>
    </row>
    <row r="843" spans="1:14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9">
        <f t="shared" si="13"/>
        <v>4</v>
      </c>
      <c r="N843" s="9"/>
    </row>
    <row r="844" spans="1:14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9">
        <f t="shared" si="13"/>
        <v>4</v>
      </c>
      <c r="N844" s="9"/>
    </row>
    <row r="845" spans="1:14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9">
        <f t="shared" si="13"/>
        <v>4</v>
      </c>
      <c r="N845" s="9"/>
    </row>
    <row r="846" spans="1:14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9">
        <f t="shared" si="13"/>
        <v>4</v>
      </c>
      <c r="N846" s="9"/>
    </row>
    <row r="847" spans="1:14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9">
        <f t="shared" si="13"/>
        <v>4</v>
      </c>
      <c r="N847" s="9"/>
    </row>
    <row r="848" spans="1:14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9">
        <f t="shared" si="13"/>
        <v>4</v>
      </c>
      <c r="N848" s="9"/>
    </row>
    <row r="849" spans="1:14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9">
        <f t="shared" si="13"/>
        <v>4</v>
      </c>
      <c r="N849" s="9"/>
    </row>
    <row r="850" spans="1:14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9">
        <f t="shared" si="13"/>
        <v>4</v>
      </c>
      <c r="N850" s="9"/>
    </row>
    <row r="851" spans="1:14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9">
        <f t="shared" si="13"/>
        <v>2</v>
      </c>
      <c r="N851" s="9"/>
    </row>
    <row r="852" spans="1:14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9">
        <f t="shared" si="13"/>
        <v>4</v>
      </c>
      <c r="N852" s="9"/>
    </row>
    <row r="853" spans="1:14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9">
        <f t="shared" si="13"/>
        <v>4</v>
      </c>
      <c r="N853" s="9"/>
    </row>
    <row r="854" spans="1:14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9">
        <f t="shared" si="13"/>
        <v>4</v>
      </c>
      <c r="N854" s="9"/>
    </row>
    <row r="855" spans="1:14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9">
        <f t="shared" si="13"/>
        <v>4</v>
      </c>
      <c r="N855" s="9"/>
    </row>
    <row r="856" spans="1:14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9">
        <f t="shared" si="13"/>
        <v>4</v>
      </c>
      <c r="N856" s="9"/>
    </row>
    <row r="857" spans="1:14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9">
        <f t="shared" si="13"/>
        <v>4</v>
      </c>
      <c r="N857" s="9"/>
    </row>
    <row r="858" spans="1:14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9">
        <f t="shared" si="13"/>
        <v>4</v>
      </c>
      <c r="N858" s="9"/>
    </row>
    <row r="859" spans="1:14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9">
        <f t="shared" si="13"/>
        <v>4</v>
      </c>
      <c r="N859" s="9"/>
    </row>
    <row r="860" spans="1:14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9">
        <f t="shared" si="13"/>
        <v>2</v>
      </c>
      <c r="N860" s="9"/>
    </row>
    <row r="861" spans="1:14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9">
        <f t="shared" si="13"/>
        <v>2</v>
      </c>
      <c r="N861" s="9"/>
    </row>
    <row r="862" spans="1:14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9">
        <f t="shared" si="13"/>
        <v>4</v>
      </c>
      <c r="N862" s="9"/>
    </row>
    <row r="863" spans="1:14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9">
        <f t="shared" si="13"/>
        <v>2</v>
      </c>
      <c r="N863" s="9"/>
    </row>
    <row r="864" spans="1:14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9">
        <f t="shared" si="13"/>
        <v>4</v>
      </c>
      <c r="N864" s="9"/>
    </row>
    <row r="865" spans="1:14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9">
        <f t="shared" si="13"/>
        <v>2</v>
      </c>
      <c r="N865" s="9"/>
    </row>
    <row r="866" spans="1:14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9">
        <f t="shared" si="13"/>
        <v>4</v>
      </c>
      <c r="N866" s="9"/>
    </row>
    <row r="867" spans="1:14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9">
        <f t="shared" si="13"/>
        <v>4</v>
      </c>
      <c r="N867" s="9"/>
    </row>
    <row r="868" spans="1:14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9">
        <f t="shared" si="13"/>
        <v>4</v>
      </c>
      <c r="N868" s="9"/>
    </row>
    <row r="869" spans="1:14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9">
        <f t="shared" si="13"/>
        <v>4</v>
      </c>
      <c r="N869" s="9"/>
    </row>
    <row r="870" spans="1:14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9">
        <f t="shared" si="13"/>
        <v>4</v>
      </c>
      <c r="N870" s="9"/>
    </row>
    <row r="871" spans="1:14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9">
        <f t="shared" si="13"/>
        <v>4</v>
      </c>
      <c r="N871" s="9"/>
    </row>
    <row r="872" spans="1:14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9">
        <f t="shared" si="13"/>
        <v>2</v>
      </c>
      <c r="N872" s="9"/>
    </row>
    <row r="873" spans="1:14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9">
        <f t="shared" si="13"/>
        <v>4</v>
      </c>
      <c r="N873" s="9"/>
    </row>
    <row r="874" spans="1:14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9">
        <f t="shared" si="13"/>
        <v>2</v>
      </c>
      <c r="N874" s="9"/>
    </row>
    <row r="875" spans="1:14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9">
        <f t="shared" si="13"/>
        <v>2</v>
      </c>
      <c r="N875" s="9"/>
    </row>
    <row r="876" spans="1:14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9">
        <f t="shared" si="13"/>
        <v>4</v>
      </c>
      <c r="N876" s="9"/>
    </row>
    <row r="877" spans="1:14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9">
        <f t="shared" si="13"/>
        <v>4</v>
      </c>
      <c r="N877" s="9"/>
    </row>
    <row r="878" spans="1:14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9">
        <f t="shared" si="13"/>
        <v>4</v>
      </c>
      <c r="N878" s="9"/>
    </row>
    <row r="879" spans="1:14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9">
        <f t="shared" si="13"/>
        <v>2</v>
      </c>
      <c r="N879" s="9"/>
    </row>
    <row r="880" spans="1:14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9">
        <f t="shared" si="13"/>
        <v>4</v>
      </c>
      <c r="N880" s="9"/>
    </row>
    <row r="881" spans="1:14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9">
        <f t="shared" si="13"/>
        <v>4</v>
      </c>
      <c r="N881" s="9"/>
    </row>
    <row r="882" spans="1:14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9">
        <f t="shared" si="13"/>
        <v>4</v>
      </c>
      <c r="N882" s="9"/>
    </row>
    <row r="883" spans="1:14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9">
        <f t="shared" si="13"/>
        <v>4</v>
      </c>
      <c r="N883" s="9"/>
    </row>
    <row r="884" spans="1:14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9">
        <f t="shared" si="13"/>
        <v>4</v>
      </c>
      <c r="N884" s="9"/>
    </row>
    <row r="885" spans="1:14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9">
        <f t="shared" si="13"/>
        <v>4</v>
      </c>
      <c r="N885" s="9"/>
    </row>
    <row r="886" spans="1:14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9">
        <f t="shared" si="13"/>
        <v>2</v>
      </c>
      <c r="N886" s="9"/>
    </row>
    <row r="887" spans="1:14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9">
        <f t="shared" si="13"/>
        <v>2</v>
      </c>
      <c r="N887" s="9"/>
    </row>
    <row r="888" spans="1:14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9">
        <f t="shared" si="13"/>
        <v>4</v>
      </c>
      <c r="N888" s="9"/>
    </row>
    <row r="889" spans="1:14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9">
        <f t="shared" si="13"/>
        <v>4</v>
      </c>
      <c r="N889" s="9"/>
    </row>
    <row r="890" spans="1:14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9">
        <f t="shared" si="13"/>
        <v>4</v>
      </c>
      <c r="N890" s="9"/>
    </row>
    <row r="891" spans="1:14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9">
        <f t="shared" si="13"/>
        <v>4</v>
      </c>
      <c r="N891" s="9"/>
    </row>
    <row r="892" spans="1:14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9">
        <f t="shared" si="13"/>
        <v>4</v>
      </c>
      <c r="N892" s="9"/>
    </row>
    <row r="893" spans="1:14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9">
        <f t="shared" si="13"/>
        <v>4</v>
      </c>
      <c r="N893" s="9"/>
    </row>
    <row r="894" spans="1:14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9">
        <f t="shared" si="13"/>
        <v>4</v>
      </c>
      <c r="N894" s="9"/>
    </row>
    <row r="895" spans="1:14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9">
        <f t="shared" si="13"/>
        <v>4</v>
      </c>
      <c r="N895" s="9"/>
    </row>
    <row r="896" spans="1:14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9">
        <f t="shared" si="13"/>
        <v>4</v>
      </c>
      <c r="N896" s="9"/>
    </row>
    <row r="897" spans="1:14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9">
        <f t="shared" si="13"/>
        <v>4</v>
      </c>
      <c r="N897" s="9"/>
    </row>
    <row r="898" spans="1:14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9">
        <f t="shared" si="13"/>
        <v>4</v>
      </c>
      <c r="N898" s="9"/>
    </row>
    <row r="899" spans="1:14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9">
        <f t="shared" ref="M899:M962" si="14">IF(OR(J899="Two-Door Car",J899="Luxury Car",J899="Sports Car"),2,IF(OR(J899="Four-Door Car",J899="SUV",J899="Luxury SUV"),4,""))</f>
        <v>4</v>
      </c>
      <c r="N899" s="9"/>
    </row>
    <row r="900" spans="1:14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9">
        <f t="shared" si="14"/>
        <v>2</v>
      </c>
      <c r="N900" s="9"/>
    </row>
    <row r="901" spans="1:14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9">
        <f t="shared" si="14"/>
        <v>4</v>
      </c>
      <c r="N901" s="9"/>
    </row>
    <row r="902" spans="1:14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9">
        <f t="shared" si="14"/>
        <v>4</v>
      </c>
      <c r="N902" s="9"/>
    </row>
    <row r="903" spans="1:14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9">
        <f t="shared" si="14"/>
        <v>4</v>
      </c>
      <c r="N903" s="9"/>
    </row>
    <row r="904" spans="1:14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9">
        <f t="shared" si="14"/>
        <v>2</v>
      </c>
      <c r="N904" s="9"/>
    </row>
    <row r="905" spans="1:14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9">
        <f t="shared" si="14"/>
        <v>4</v>
      </c>
      <c r="N905" s="9"/>
    </row>
    <row r="906" spans="1:14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9">
        <f t="shared" si="14"/>
        <v>2</v>
      </c>
      <c r="N906" s="9"/>
    </row>
    <row r="907" spans="1:14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9">
        <f t="shared" si="14"/>
        <v>4</v>
      </c>
      <c r="N907" s="9"/>
    </row>
    <row r="908" spans="1:14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9">
        <f t="shared" si="14"/>
        <v>4</v>
      </c>
      <c r="N908" s="9"/>
    </row>
    <row r="909" spans="1:14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9">
        <f t="shared" si="14"/>
        <v>4</v>
      </c>
      <c r="N909" s="9"/>
    </row>
    <row r="910" spans="1:14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9">
        <f t="shared" si="14"/>
        <v>4</v>
      </c>
      <c r="N910" s="9"/>
    </row>
    <row r="911" spans="1:14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9">
        <f t="shared" si="14"/>
        <v>4</v>
      </c>
      <c r="N911" s="9"/>
    </row>
    <row r="912" spans="1:14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9">
        <f t="shared" si="14"/>
        <v>4</v>
      </c>
      <c r="N912" s="9"/>
    </row>
    <row r="913" spans="1:14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9">
        <f t="shared" si="14"/>
        <v>4</v>
      </c>
      <c r="N913" s="9"/>
    </row>
    <row r="914" spans="1:14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9">
        <f t="shared" si="14"/>
        <v>4</v>
      </c>
      <c r="N914" s="9"/>
    </row>
    <row r="915" spans="1:14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9">
        <f t="shared" si="14"/>
        <v>4</v>
      </c>
      <c r="N915" s="9"/>
    </row>
    <row r="916" spans="1:14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9">
        <f t="shared" si="14"/>
        <v>4</v>
      </c>
      <c r="N916" s="9"/>
    </row>
    <row r="917" spans="1:14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9">
        <f t="shared" si="14"/>
        <v>4</v>
      </c>
      <c r="N917" s="9"/>
    </row>
    <row r="918" spans="1:14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9">
        <f t="shared" si="14"/>
        <v>4</v>
      </c>
      <c r="N918" s="9"/>
    </row>
    <row r="919" spans="1:14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9">
        <f t="shared" si="14"/>
        <v>4</v>
      </c>
      <c r="N919" s="9"/>
    </row>
    <row r="920" spans="1:14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9">
        <f t="shared" si="14"/>
        <v>4</v>
      </c>
      <c r="N920" s="9"/>
    </row>
    <row r="921" spans="1:14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9">
        <f t="shared" si="14"/>
        <v>4</v>
      </c>
      <c r="N921" s="9"/>
    </row>
    <row r="922" spans="1:14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9">
        <f t="shared" si="14"/>
        <v>4</v>
      </c>
      <c r="N922" s="9"/>
    </row>
    <row r="923" spans="1:14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9">
        <f t="shared" si="14"/>
        <v>4</v>
      </c>
      <c r="N923" s="9"/>
    </row>
    <row r="924" spans="1:14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9">
        <f t="shared" si="14"/>
        <v>2</v>
      </c>
      <c r="N924" s="9"/>
    </row>
    <row r="925" spans="1:14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9">
        <f t="shared" si="14"/>
        <v>4</v>
      </c>
      <c r="N925" s="9"/>
    </row>
    <row r="926" spans="1:14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9">
        <f t="shared" si="14"/>
        <v>4</v>
      </c>
      <c r="N926" s="9"/>
    </row>
    <row r="927" spans="1:14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9">
        <f t="shared" si="14"/>
        <v>4</v>
      </c>
      <c r="N927" s="9"/>
    </row>
    <row r="928" spans="1:14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9">
        <f t="shared" si="14"/>
        <v>2</v>
      </c>
      <c r="N928" s="9"/>
    </row>
    <row r="929" spans="1:14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9">
        <f t="shared" si="14"/>
        <v>4</v>
      </c>
      <c r="N929" s="9"/>
    </row>
    <row r="930" spans="1:14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9">
        <f t="shared" si="14"/>
        <v>4</v>
      </c>
      <c r="N930" s="9"/>
    </row>
    <row r="931" spans="1:14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9">
        <f t="shared" si="14"/>
        <v>4</v>
      </c>
      <c r="N931" s="9"/>
    </row>
    <row r="932" spans="1:14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9">
        <f t="shared" si="14"/>
        <v>4</v>
      </c>
      <c r="N932" s="9"/>
    </row>
    <row r="933" spans="1:14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9">
        <f t="shared" si="14"/>
        <v>4</v>
      </c>
      <c r="N933" s="9"/>
    </row>
    <row r="934" spans="1:14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9">
        <f t="shared" si="14"/>
        <v>4</v>
      </c>
      <c r="N934" s="9"/>
    </row>
    <row r="935" spans="1:14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9">
        <f t="shared" si="14"/>
        <v>4</v>
      </c>
      <c r="N935" s="9"/>
    </row>
    <row r="936" spans="1:14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9">
        <f t="shared" si="14"/>
        <v>4</v>
      </c>
      <c r="N936" s="9"/>
    </row>
    <row r="937" spans="1:14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9">
        <f t="shared" si="14"/>
        <v>4</v>
      </c>
      <c r="N937" s="9"/>
    </row>
    <row r="938" spans="1:14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9">
        <f t="shared" si="14"/>
        <v>4</v>
      </c>
      <c r="N938" s="9"/>
    </row>
    <row r="939" spans="1:14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9">
        <f t="shared" si="14"/>
        <v>2</v>
      </c>
      <c r="N939" s="9"/>
    </row>
    <row r="940" spans="1:14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9">
        <f t="shared" si="14"/>
        <v>4</v>
      </c>
      <c r="N940" s="9"/>
    </row>
    <row r="941" spans="1:14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9">
        <f t="shared" si="14"/>
        <v>4</v>
      </c>
      <c r="N941" s="9"/>
    </row>
    <row r="942" spans="1:14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9">
        <f t="shared" si="14"/>
        <v>2</v>
      </c>
      <c r="N942" s="9"/>
    </row>
    <row r="943" spans="1:14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9">
        <f t="shared" si="14"/>
        <v>4</v>
      </c>
      <c r="N943" s="9"/>
    </row>
    <row r="944" spans="1:14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9">
        <f t="shared" si="14"/>
        <v>4</v>
      </c>
      <c r="N944" s="9"/>
    </row>
    <row r="945" spans="1:14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9">
        <f t="shared" si="14"/>
        <v>4</v>
      </c>
      <c r="N945" s="9"/>
    </row>
    <row r="946" spans="1:14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9">
        <f t="shared" si="14"/>
        <v>2</v>
      </c>
      <c r="N946" s="9"/>
    </row>
    <row r="947" spans="1:14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9">
        <f t="shared" si="14"/>
        <v>4</v>
      </c>
      <c r="N947" s="9"/>
    </row>
    <row r="948" spans="1:14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9">
        <f t="shared" si="14"/>
        <v>4</v>
      </c>
      <c r="N948" s="9"/>
    </row>
    <row r="949" spans="1:14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9">
        <f t="shared" si="14"/>
        <v>4</v>
      </c>
      <c r="N949" s="9"/>
    </row>
    <row r="950" spans="1:14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9">
        <f t="shared" si="14"/>
        <v>2</v>
      </c>
      <c r="N950" s="9"/>
    </row>
    <row r="951" spans="1:14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9">
        <f t="shared" si="14"/>
        <v>4</v>
      </c>
      <c r="N951" s="9"/>
    </row>
    <row r="952" spans="1:14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9">
        <f t="shared" si="14"/>
        <v>4</v>
      </c>
      <c r="N952" s="9"/>
    </row>
    <row r="953" spans="1:14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9">
        <f t="shared" si="14"/>
        <v>4</v>
      </c>
      <c r="N953" s="9"/>
    </row>
    <row r="954" spans="1:14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9">
        <f t="shared" si="14"/>
        <v>4</v>
      </c>
      <c r="N954" s="9"/>
    </row>
    <row r="955" spans="1:14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9">
        <f t="shared" si="14"/>
        <v>4</v>
      </c>
      <c r="N955" s="9"/>
    </row>
    <row r="956" spans="1:14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9">
        <f t="shared" si="14"/>
        <v>2</v>
      </c>
      <c r="N956" s="9"/>
    </row>
    <row r="957" spans="1:14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9">
        <f t="shared" si="14"/>
        <v>4</v>
      </c>
      <c r="N957" s="9"/>
    </row>
    <row r="958" spans="1:14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9">
        <f t="shared" si="14"/>
        <v>4</v>
      </c>
      <c r="N958" s="9"/>
    </row>
    <row r="959" spans="1:14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9">
        <f t="shared" si="14"/>
        <v>4</v>
      </c>
      <c r="N959" s="9"/>
    </row>
    <row r="960" spans="1:14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9">
        <f t="shared" si="14"/>
        <v>2</v>
      </c>
      <c r="N960" s="9"/>
    </row>
    <row r="961" spans="1:14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9">
        <f t="shared" si="14"/>
        <v>4</v>
      </c>
      <c r="N961" s="9"/>
    </row>
    <row r="962" spans="1:14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9">
        <f t="shared" si="14"/>
        <v>4</v>
      </c>
      <c r="N962" s="9"/>
    </row>
    <row r="963" spans="1:14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9">
        <f t="shared" ref="M963:M1026" si="15">IF(OR(J963="Two-Door Car",J963="Luxury Car",J963="Sports Car"),2,IF(OR(J963="Four-Door Car",J963="SUV",J963="Luxury SUV"),4,""))</f>
        <v>4</v>
      </c>
      <c r="N963" s="9"/>
    </row>
    <row r="964" spans="1:14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9">
        <f t="shared" si="15"/>
        <v>2</v>
      </c>
      <c r="N964" s="9"/>
    </row>
    <row r="965" spans="1:14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9">
        <f t="shared" si="15"/>
        <v>4</v>
      </c>
      <c r="N965" s="9"/>
    </row>
    <row r="966" spans="1:14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9">
        <f t="shared" si="15"/>
        <v>2</v>
      </c>
      <c r="N966" s="9"/>
    </row>
    <row r="967" spans="1:14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9">
        <f t="shared" si="15"/>
        <v>2</v>
      </c>
      <c r="N967" s="9"/>
    </row>
    <row r="968" spans="1:14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9">
        <f t="shared" si="15"/>
        <v>4</v>
      </c>
      <c r="N968" s="9"/>
    </row>
    <row r="969" spans="1:14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9">
        <f t="shared" si="15"/>
        <v>4</v>
      </c>
      <c r="N969" s="9"/>
    </row>
    <row r="970" spans="1:14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9">
        <f t="shared" si="15"/>
        <v>2</v>
      </c>
      <c r="N970" s="9"/>
    </row>
    <row r="971" spans="1:14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9">
        <f t="shared" si="15"/>
        <v>2</v>
      </c>
      <c r="N971" s="9"/>
    </row>
    <row r="972" spans="1:14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9">
        <f t="shared" si="15"/>
        <v>4</v>
      </c>
      <c r="N972" s="9"/>
    </row>
    <row r="973" spans="1:14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9">
        <f t="shared" si="15"/>
        <v>4</v>
      </c>
      <c r="N973" s="9"/>
    </row>
    <row r="974" spans="1:14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9">
        <f t="shared" si="15"/>
        <v>2</v>
      </c>
      <c r="N974" s="9"/>
    </row>
    <row r="975" spans="1:14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9">
        <f t="shared" si="15"/>
        <v>4</v>
      </c>
      <c r="N975" s="9"/>
    </row>
    <row r="976" spans="1:14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9">
        <f t="shared" si="15"/>
        <v>2</v>
      </c>
      <c r="N976" s="9"/>
    </row>
    <row r="977" spans="1:14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9">
        <f t="shared" si="15"/>
        <v>4</v>
      </c>
      <c r="N977" s="9"/>
    </row>
    <row r="978" spans="1:14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9">
        <f t="shared" si="15"/>
        <v>4</v>
      </c>
      <c r="N978" s="9"/>
    </row>
    <row r="979" spans="1:14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9">
        <f t="shared" si="15"/>
        <v>4</v>
      </c>
      <c r="N979" s="9"/>
    </row>
    <row r="980" spans="1:14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9">
        <f t="shared" si="15"/>
        <v>4</v>
      </c>
      <c r="N980" s="9"/>
    </row>
    <row r="981" spans="1:14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9">
        <f t="shared" si="15"/>
        <v>4</v>
      </c>
      <c r="N981" s="9"/>
    </row>
    <row r="982" spans="1:14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9">
        <f t="shared" si="15"/>
        <v>4</v>
      </c>
      <c r="N982" s="9"/>
    </row>
    <row r="983" spans="1:14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9">
        <f t="shared" si="15"/>
        <v>2</v>
      </c>
      <c r="N983" s="9"/>
    </row>
    <row r="984" spans="1:14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9">
        <f t="shared" si="15"/>
        <v>4</v>
      </c>
      <c r="N984" s="9"/>
    </row>
    <row r="985" spans="1:14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9">
        <f t="shared" si="15"/>
        <v>4</v>
      </c>
      <c r="N985" s="9"/>
    </row>
    <row r="986" spans="1:14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9">
        <f t="shared" si="15"/>
        <v>4</v>
      </c>
      <c r="N986" s="9"/>
    </row>
    <row r="987" spans="1:14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9">
        <f t="shared" si="15"/>
        <v>2</v>
      </c>
      <c r="N987" s="9"/>
    </row>
    <row r="988" spans="1:14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9">
        <f t="shared" si="15"/>
        <v>4</v>
      </c>
      <c r="N988" s="9"/>
    </row>
    <row r="989" spans="1:14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9">
        <f t="shared" si="15"/>
        <v>4</v>
      </c>
      <c r="N989" s="9"/>
    </row>
    <row r="990" spans="1:14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9">
        <f t="shared" si="15"/>
        <v>4</v>
      </c>
      <c r="N990" s="9"/>
    </row>
    <row r="991" spans="1:14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9">
        <f t="shared" si="15"/>
        <v>4</v>
      </c>
      <c r="N991" s="9"/>
    </row>
    <row r="992" spans="1:14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9">
        <f t="shared" si="15"/>
        <v>4</v>
      </c>
      <c r="N992" s="9"/>
    </row>
    <row r="993" spans="1:14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9">
        <f t="shared" si="15"/>
        <v>4</v>
      </c>
      <c r="N993" s="9"/>
    </row>
    <row r="994" spans="1:14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9">
        <f t="shared" si="15"/>
        <v>2</v>
      </c>
      <c r="N994" s="9"/>
    </row>
    <row r="995" spans="1:14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9">
        <f t="shared" si="15"/>
        <v>2</v>
      </c>
      <c r="N995" s="9"/>
    </row>
    <row r="996" spans="1:14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9">
        <f t="shared" si="15"/>
        <v>4</v>
      </c>
      <c r="N996" s="9"/>
    </row>
    <row r="997" spans="1:14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9">
        <f t="shared" si="15"/>
        <v>4</v>
      </c>
      <c r="N997" s="9"/>
    </row>
    <row r="998" spans="1:14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9">
        <f t="shared" si="15"/>
        <v>4</v>
      </c>
      <c r="N998" s="9"/>
    </row>
    <row r="999" spans="1:14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9">
        <f t="shared" si="15"/>
        <v>2</v>
      </c>
      <c r="N999" s="9"/>
    </row>
    <row r="1000" spans="1:14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9">
        <f t="shared" si="15"/>
        <v>2</v>
      </c>
      <c r="N1000" s="9"/>
    </row>
    <row r="1001" spans="1:14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9">
        <f t="shared" si="15"/>
        <v>4</v>
      </c>
      <c r="N1001" s="9"/>
    </row>
    <row r="1002" spans="1:14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9">
        <f t="shared" si="15"/>
        <v>4</v>
      </c>
      <c r="N1002" s="9"/>
    </row>
    <row r="1003" spans="1:14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9">
        <f t="shared" si="15"/>
        <v>4</v>
      </c>
      <c r="N1003" s="9"/>
    </row>
    <row r="1004" spans="1:14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9">
        <f t="shared" si="15"/>
        <v>4</v>
      </c>
      <c r="N1004" s="9"/>
    </row>
    <row r="1005" spans="1:14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9">
        <f t="shared" si="15"/>
        <v>4</v>
      </c>
      <c r="N1005" s="9"/>
    </row>
    <row r="1006" spans="1:14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9">
        <f t="shared" si="15"/>
        <v>4</v>
      </c>
      <c r="N1006" s="9"/>
    </row>
    <row r="1007" spans="1:14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9">
        <f t="shared" si="15"/>
        <v>2</v>
      </c>
      <c r="N1007" s="9"/>
    </row>
    <row r="1008" spans="1:14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9">
        <f t="shared" si="15"/>
        <v>4</v>
      </c>
      <c r="N1008" s="9"/>
    </row>
    <row r="1009" spans="1:14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9">
        <f t="shared" si="15"/>
        <v>4</v>
      </c>
      <c r="N1009" s="9"/>
    </row>
    <row r="1010" spans="1:14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9">
        <f t="shared" si="15"/>
        <v>2</v>
      </c>
      <c r="N1010" s="9"/>
    </row>
    <row r="1011" spans="1:14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9">
        <f t="shared" si="15"/>
        <v>4</v>
      </c>
      <c r="N1011" s="9"/>
    </row>
    <row r="1012" spans="1:14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9">
        <f t="shared" si="15"/>
        <v>2</v>
      </c>
      <c r="N1012" s="9"/>
    </row>
    <row r="1013" spans="1:14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9">
        <f t="shared" si="15"/>
        <v>4</v>
      </c>
      <c r="N1013" s="9"/>
    </row>
    <row r="1014" spans="1:14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9">
        <f t="shared" si="15"/>
        <v>4</v>
      </c>
      <c r="N1014" s="9"/>
    </row>
    <row r="1015" spans="1:14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9">
        <f t="shared" si="15"/>
        <v>4</v>
      </c>
      <c r="N1015" s="9"/>
    </row>
    <row r="1016" spans="1:14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9">
        <f t="shared" si="15"/>
        <v>4</v>
      </c>
      <c r="N1016" s="9"/>
    </row>
    <row r="1017" spans="1:14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9">
        <f t="shared" si="15"/>
        <v>2</v>
      </c>
      <c r="N1017" s="9"/>
    </row>
    <row r="1018" spans="1:14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9">
        <f t="shared" si="15"/>
        <v>4</v>
      </c>
      <c r="N1018" s="9"/>
    </row>
    <row r="1019" spans="1:14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9">
        <f t="shared" si="15"/>
        <v>2</v>
      </c>
      <c r="N1019" s="9"/>
    </row>
    <row r="1020" spans="1:14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9">
        <f t="shared" si="15"/>
        <v>2</v>
      </c>
      <c r="N1020" s="9"/>
    </row>
    <row r="1021" spans="1:14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9">
        <f t="shared" si="15"/>
        <v>4</v>
      </c>
      <c r="N1021" s="9"/>
    </row>
    <row r="1022" spans="1:14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9">
        <f t="shared" si="15"/>
        <v>2</v>
      </c>
      <c r="N1022" s="9"/>
    </row>
    <row r="1023" spans="1:14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9">
        <f t="shared" si="15"/>
        <v>4</v>
      </c>
      <c r="N1023" s="9"/>
    </row>
    <row r="1024" spans="1:14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9">
        <f t="shared" si="15"/>
        <v>2</v>
      </c>
      <c r="N1024" s="9"/>
    </row>
    <row r="1025" spans="1:14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9">
        <f t="shared" si="15"/>
        <v>4</v>
      </c>
      <c r="N1025" s="9"/>
    </row>
    <row r="1026" spans="1:14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9">
        <f t="shared" si="15"/>
        <v>4</v>
      </c>
      <c r="N1026" s="9"/>
    </row>
    <row r="1027" spans="1:14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9">
        <f t="shared" ref="M1027:M1072" si="16">IF(OR(J1027="Two-Door Car",J1027="Luxury Car",J1027="Sports Car"),2,IF(OR(J1027="Four-Door Car",J1027="SUV",J1027="Luxury SUV"),4,""))</f>
        <v>4</v>
      </c>
      <c r="N1027" s="9"/>
    </row>
    <row r="1028" spans="1:14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9">
        <f t="shared" si="16"/>
        <v>4</v>
      </c>
      <c r="N1028" s="9"/>
    </row>
    <row r="1029" spans="1:14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9">
        <f t="shared" si="16"/>
        <v>4</v>
      </c>
      <c r="N1029" s="9"/>
    </row>
    <row r="1030" spans="1:14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9">
        <f t="shared" si="16"/>
        <v>2</v>
      </c>
      <c r="N1030" s="9"/>
    </row>
    <row r="1031" spans="1:14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9">
        <f t="shared" si="16"/>
        <v>4</v>
      </c>
      <c r="N1031" s="9"/>
    </row>
    <row r="1032" spans="1:14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9">
        <f t="shared" si="16"/>
        <v>4</v>
      </c>
      <c r="N1032" s="9"/>
    </row>
    <row r="1033" spans="1:14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9">
        <f t="shared" si="16"/>
        <v>4</v>
      </c>
      <c r="N1033" s="9"/>
    </row>
    <row r="1034" spans="1:14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9">
        <f t="shared" si="16"/>
        <v>4</v>
      </c>
      <c r="N1034" s="9"/>
    </row>
    <row r="1035" spans="1:14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9">
        <f t="shared" si="16"/>
        <v>2</v>
      </c>
      <c r="N1035" s="9"/>
    </row>
    <row r="1036" spans="1:14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9">
        <f t="shared" si="16"/>
        <v>4</v>
      </c>
      <c r="N1036" s="9"/>
    </row>
    <row r="1037" spans="1:14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9">
        <f t="shared" si="16"/>
        <v>2</v>
      </c>
      <c r="N1037" s="9"/>
    </row>
    <row r="1038" spans="1:14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9">
        <f t="shared" si="16"/>
        <v>4</v>
      </c>
      <c r="N1038" s="9"/>
    </row>
    <row r="1039" spans="1:14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9">
        <f t="shared" si="16"/>
        <v>4</v>
      </c>
      <c r="N1039" s="9"/>
    </row>
    <row r="1040" spans="1:14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9">
        <f t="shared" si="16"/>
        <v>4</v>
      </c>
      <c r="N1040" s="9"/>
    </row>
    <row r="1041" spans="1:14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9">
        <f t="shared" si="16"/>
        <v>4</v>
      </c>
      <c r="N1041" s="9"/>
    </row>
    <row r="1042" spans="1:14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9">
        <f t="shared" si="16"/>
        <v>4</v>
      </c>
      <c r="N1042" s="9"/>
    </row>
    <row r="1043" spans="1:14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9">
        <f t="shared" si="16"/>
        <v>2</v>
      </c>
      <c r="N1043" s="9"/>
    </row>
    <row r="1044" spans="1:14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9">
        <f t="shared" si="16"/>
        <v>4</v>
      </c>
      <c r="N1044" s="9"/>
    </row>
    <row r="1045" spans="1:14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9">
        <f t="shared" si="16"/>
        <v>4</v>
      </c>
      <c r="N1045" s="9"/>
    </row>
    <row r="1046" spans="1:14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9">
        <f t="shared" si="16"/>
        <v>4</v>
      </c>
      <c r="N1046" s="9"/>
    </row>
    <row r="1047" spans="1:14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9">
        <f t="shared" si="16"/>
        <v>4</v>
      </c>
      <c r="N1047" s="9"/>
    </row>
    <row r="1048" spans="1:14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9">
        <f t="shared" si="16"/>
        <v>4</v>
      </c>
      <c r="N1048" s="9"/>
    </row>
    <row r="1049" spans="1:14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9">
        <f t="shared" si="16"/>
        <v>2</v>
      </c>
      <c r="N1049" s="9"/>
    </row>
    <row r="1050" spans="1:14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9">
        <f t="shared" si="16"/>
        <v>4</v>
      </c>
      <c r="N1050" s="9"/>
    </row>
    <row r="1051" spans="1:14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9">
        <f t="shared" si="16"/>
        <v>2</v>
      </c>
      <c r="N1051" s="9"/>
    </row>
    <row r="1052" spans="1:14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9">
        <f t="shared" si="16"/>
        <v>4</v>
      </c>
      <c r="N1052" s="9"/>
    </row>
    <row r="1053" spans="1:14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9">
        <f t="shared" si="16"/>
        <v>4</v>
      </c>
      <c r="N1053" s="9"/>
    </row>
    <row r="1054" spans="1:14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9">
        <f t="shared" si="16"/>
        <v>4</v>
      </c>
      <c r="N1054" s="9"/>
    </row>
    <row r="1055" spans="1:14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9">
        <f t="shared" si="16"/>
        <v>4</v>
      </c>
      <c r="N1055" s="9"/>
    </row>
    <row r="1056" spans="1:14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9">
        <f t="shared" si="16"/>
        <v>4</v>
      </c>
      <c r="N1056" s="9"/>
    </row>
    <row r="1057" spans="1:14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9">
        <f t="shared" si="16"/>
        <v>4</v>
      </c>
      <c r="N1057" s="9"/>
    </row>
    <row r="1058" spans="1:14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9">
        <f t="shared" si="16"/>
        <v>4</v>
      </c>
      <c r="N1058" s="9"/>
    </row>
    <row r="1059" spans="1:14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9">
        <f t="shared" si="16"/>
        <v>2</v>
      </c>
      <c r="N1059" s="9"/>
    </row>
    <row r="1060" spans="1:14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9">
        <f t="shared" si="16"/>
        <v>4</v>
      </c>
      <c r="N1060" s="9"/>
    </row>
    <row r="1061" spans="1:14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9">
        <f t="shared" si="16"/>
        <v>4</v>
      </c>
      <c r="N1061" s="9"/>
    </row>
    <row r="1062" spans="1:14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9">
        <f t="shared" si="16"/>
        <v>4</v>
      </c>
      <c r="N1062" s="9"/>
    </row>
    <row r="1063" spans="1:14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9">
        <f t="shared" si="16"/>
        <v>4</v>
      </c>
      <c r="N1063" s="9"/>
    </row>
    <row r="1064" spans="1:14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9">
        <f t="shared" si="16"/>
        <v>4</v>
      </c>
      <c r="N1064" s="9"/>
    </row>
    <row r="1065" spans="1:14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9">
        <f t="shared" si="16"/>
        <v>4</v>
      </c>
      <c r="N1065" s="9"/>
    </row>
    <row r="1066" spans="1:14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9">
        <f t="shared" si="16"/>
        <v>2</v>
      </c>
      <c r="N1066" s="9"/>
    </row>
    <row r="1067" spans="1:14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9">
        <f t="shared" si="16"/>
        <v>4</v>
      </c>
      <c r="N1067" s="9"/>
    </row>
    <row r="1068" spans="1:14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9">
        <f t="shared" si="16"/>
        <v>4</v>
      </c>
      <c r="N1068" s="9"/>
    </row>
    <row r="1069" spans="1:14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9">
        <f t="shared" si="16"/>
        <v>4</v>
      </c>
      <c r="N1069" s="9"/>
    </row>
    <row r="1070" spans="1:14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9">
        <f t="shared" si="16"/>
        <v>4</v>
      </c>
      <c r="N1070" s="9"/>
    </row>
    <row r="1071" spans="1:14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9">
        <f t="shared" si="16"/>
        <v>4</v>
      </c>
      <c r="N1071" s="9"/>
    </row>
    <row r="1072" spans="1:14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9">
        <f t="shared" si="16"/>
        <v>2</v>
      </c>
      <c r="N1072" s="9"/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zoomScale="80" zoomScaleNormal="80" workbookViewId="0">
      <selection activeCell="E7" sqref="E7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7.816406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6.81640625" bestFit="1" customWidth="1"/>
    <col min="11" max="11" width="17.36328125" bestFit="1" customWidth="1"/>
    <col min="12" max="12" width="11.1796875" bestFit="1" customWidth="1"/>
    <col min="13" max="13" width="22.453125" bestFit="1" customWidth="1"/>
  </cols>
  <sheetData>
    <row r="1" spans="1:13" x14ac:dyDescent="0.3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6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3" t="s">
        <v>9196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9">
        <f ca="1">DATEDIF(L2,TODAY(),"Y")</f>
        <v>30</v>
      </c>
    </row>
    <row r="3" spans="1:13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9">
        <f t="shared" ref="M3:M66" ca="1" si="0">DATEDIF(L3,TODAY(),"Y")</f>
        <v>27</v>
      </c>
    </row>
    <row r="4" spans="1:13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9">
        <f t="shared" ca="1" si="0"/>
        <v>29</v>
      </c>
    </row>
    <row r="5" spans="1:13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9">
        <f t="shared" ca="1" si="0"/>
        <v>29</v>
      </c>
    </row>
    <row r="6" spans="1:13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9">
        <f t="shared" ca="1" si="0"/>
        <v>30</v>
      </c>
    </row>
    <row r="7" spans="1:13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9">
        <f t="shared" ca="1" si="0"/>
        <v>30</v>
      </c>
    </row>
    <row r="8" spans="1:13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9">
        <f t="shared" ca="1" si="0"/>
        <v>29</v>
      </c>
    </row>
    <row r="9" spans="1:13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9">
        <f t="shared" ca="1" si="0"/>
        <v>29</v>
      </c>
    </row>
    <row r="10" spans="1:13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9">
        <f t="shared" ca="1" si="0"/>
        <v>29</v>
      </c>
    </row>
    <row r="11" spans="1:13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9">
        <f t="shared" ca="1" si="0"/>
        <v>29</v>
      </c>
    </row>
    <row r="12" spans="1:13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9">
        <f t="shared" ca="1" si="0"/>
        <v>29</v>
      </c>
    </row>
    <row r="13" spans="1:13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9">
        <f t="shared" ca="1" si="0"/>
        <v>29</v>
      </c>
    </row>
    <row r="14" spans="1:13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9">
        <f t="shared" ca="1" si="0"/>
        <v>29</v>
      </c>
    </row>
    <row r="15" spans="1:13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9">
        <f t="shared" ca="1" si="0"/>
        <v>29</v>
      </c>
    </row>
    <row r="16" spans="1:13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9">
        <f t="shared" ca="1" si="0"/>
        <v>30</v>
      </c>
    </row>
    <row r="17" spans="1:13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9">
        <f t="shared" ca="1" si="0"/>
        <v>30</v>
      </c>
    </row>
    <row r="18" spans="1:13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9">
        <f t="shared" ca="1" si="0"/>
        <v>29</v>
      </c>
    </row>
    <row r="19" spans="1:13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9">
        <f t="shared" ca="1" si="0"/>
        <v>29</v>
      </c>
    </row>
    <row r="20" spans="1:13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9">
        <f t="shared" ca="1" si="0"/>
        <v>30</v>
      </c>
    </row>
    <row r="21" spans="1:13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9">
        <f t="shared" ca="1" si="0"/>
        <v>29</v>
      </c>
    </row>
    <row r="22" spans="1:13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9">
        <f t="shared" ca="1" si="0"/>
        <v>29</v>
      </c>
    </row>
    <row r="23" spans="1:13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9">
        <f t="shared" ca="1" si="0"/>
        <v>30</v>
      </c>
    </row>
    <row r="24" spans="1:13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9">
        <f t="shared" ca="1" si="0"/>
        <v>29</v>
      </c>
    </row>
    <row r="25" spans="1:13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9">
        <f t="shared" ca="1" si="0"/>
        <v>29</v>
      </c>
    </row>
    <row r="26" spans="1:13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9">
        <f t="shared" ca="1" si="0"/>
        <v>29</v>
      </c>
    </row>
    <row r="27" spans="1:13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9">
        <f t="shared" ca="1" si="0"/>
        <v>29</v>
      </c>
    </row>
    <row r="28" spans="1:13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9">
        <f t="shared" ca="1" si="0"/>
        <v>28</v>
      </c>
    </row>
    <row r="29" spans="1:13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9">
        <f t="shared" ca="1" si="0"/>
        <v>30</v>
      </c>
    </row>
    <row r="30" spans="1:13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9">
        <f t="shared" ca="1" si="0"/>
        <v>29</v>
      </c>
    </row>
    <row r="31" spans="1:13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9">
        <f t="shared" ca="1" si="0"/>
        <v>29</v>
      </c>
    </row>
    <row r="32" spans="1:13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9">
        <f t="shared" ca="1" si="0"/>
        <v>29</v>
      </c>
    </row>
    <row r="33" spans="1:13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9">
        <f t="shared" ca="1" si="0"/>
        <v>29</v>
      </c>
    </row>
    <row r="34" spans="1:13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9">
        <f t="shared" ca="1" si="0"/>
        <v>30</v>
      </c>
    </row>
    <row r="35" spans="1:13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9">
        <f t="shared" ca="1" si="0"/>
        <v>30</v>
      </c>
    </row>
    <row r="36" spans="1:13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9">
        <f t="shared" ca="1" si="0"/>
        <v>30</v>
      </c>
    </row>
    <row r="37" spans="1:13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9">
        <f t="shared" ca="1" si="0"/>
        <v>30</v>
      </c>
    </row>
    <row r="38" spans="1:13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9">
        <f t="shared" ca="1" si="0"/>
        <v>29</v>
      </c>
    </row>
    <row r="39" spans="1:13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9">
        <f t="shared" ca="1" si="0"/>
        <v>29</v>
      </c>
    </row>
    <row r="40" spans="1:13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9">
        <f t="shared" ca="1" si="0"/>
        <v>29</v>
      </c>
    </row>
    <row r="41" spans="1:13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9">
        <f t="shared" ca="1" si="0"/>
        <v>30</v>
      </c>
    </row>
    <row r="42" spans="1:13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9">
        <f t="shared" ca="1" si="0"/>
        <v>29</v>
      </c>
    </row>
    <row r="43" spans="1:13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9">
        <f t="shared" ca="1" si="0"/>
        <v>30</v>
      </c>
    </row>
    <row r="44" spans="1:13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9">
        <f t="shared" ca="1" si="0"/>
        <v>28</v>
      </c>
    </row>
    <row r="45" spans="1:13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9">
        <f t="shared" ca="1" si="0"/>
        <v>29</v>
      </c>
    </row>
    <row r="46" spans="1:13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9">
        <f t="shared" ca="1" si="0"/>
        <v>30</v>
      </c>
    </row>
    <row r="47" spans="1:13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9">
        <f t="shared" ca="1" si="0"/>
        <v>30</v>
      </c>
    </row>
    <row r="48" spans="1:13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9">
        <f t="shared" ca="1" si="0"/>
        <v>29</v>
      </c>
    </row>
    <row r="49" spans="1:13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9">
        <f t="shared" ca="1" si="0"/>
        <v>29</v>
      </c>
    </row>
    <row r="50" spans="1:13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9">
        <f t="shared" ca="1" si="0"/>
        <v>29</v>
      </c>
    </row>
    <row r="51" spans="1:13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9">
        <f t="shared" ca="1" si="0"/>
        <v>30</v>
      </c>
    </row>
    <row r="52" spans="1:13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9">
        <f t="shared" ca="1" si="0"/>
        <v>29</v>
      </c>
    </row>
    <row r="53" spans="1:13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9">
        <f t="shared" ca="1" si="0"/>
        <v>29</v>
      </c>
    </row>
    <row r="54" spans="1:13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9">
        <f t="shared" ca="1" si="0"/>
        <v>30</v>
      </c>
    </row>
    <row r="55" spans="1:13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9">
        <f t="shared" ca="1" si="0"/>
        <v>30</v>
      </c>
    </row>
    <row r="56" spans="1:13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9">
        <f t="shared" ca="1" si="0"/>
        <v>28</v>
      </c>
    </row>
    <row r="57" spans="1:13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9">
        <f t="shared" ca="1" si="0"/>
        <v>29</v>
      </c>
    </row>
    <row r="58" spans="1:13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9">
        <f t="shared" ca="1" si="0"/>
        <v>30</v>
      </c>
    </row>
    <row r="59" spans="1:13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9">
        <f t="shared" ca="1" si="0"/>
        <v>29</v>
      </c>
    </row>
    <row r="60" spans="1:13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9">
        <f t="shared" ca="1" si="0"/>
        <v>28</v>
      </c>
    </row>
    <row r="61" spans="1:13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9">
        <f t="shared" ca="1" si="0"/>
        <v>29</v>
      </c>
    </row>
    <row r="62" spans="1:13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9">
        <f t="shared" ca="1" si="0"/>
        <v>30</v>
      </c>
    </row>
    <row r="63" spans="1:13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9">
        <f t="shared" ca="1" si="0"/>
        <v>29</v>
      </c>
    </row>
    <row r="64" spans="1:13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9">
        <f t="shared" ca="1" si="0"/>
        <v>28</v>
      </c>
    </row>
    <row r="65" spans="1:13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9">
        <f t="shared" ca="1" si="0"/>
        <v>30</v>
      </c>
    </row>
    <row r="66" spans="1:13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9">
        <f t="shared" ca="1" si="0"/>
        <v>29</v>
      </c>
    </row>
    <row r="67" spans="1:13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9">
        <f t="shared" ref="M67:M130" ca="1" si="1">DATEDIF(L67,TODAY(),"Y")</f>
        <v>29</v>
      </c>
    </row>
    <row r="68" spans="1:13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9">
        <f t="shared" ca="1" si="1"/>
        <v>29</v>
      </c>
    </row>
    <row r="69" spans="1:13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9">
        <f t="shared" ca="1" si="1"/>
        <v>29</v>
      </c>
    </row>
    <row r="70" spans="1:13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9">
        <f t="shared" ca="1" si="1"/>
        <v>29</v>
      </c>
    </row>
    <row r="71" spans="1:13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9">
        <f t="shared" ca="1" si="1"/>
        <v>29</v>
      </c>
    </row>
    <row r="72" spans="1:13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9">
        <f t="shared" ca="1" si="1"/>
        <v>30</v>
      </c>
    </row>
    <row r="73" spans="1:13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9">
        <f t="shared" ca="1" si="1"/>
        <v>30</v>
      </c>
    </row>
    <row r="74" spans="1:13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9">
        <f t="shared" ca="1" si="1"/>
        <v>30</v>
      </c>
    </row>
    <row r="75" spans="1:13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9">
        <f t="shared" ca="1" si="1"/>
        <v>28</v>
      </c>
    </row>
    <row r="76" spans="1:13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9">
        <f t="shared" ca="1" si="1"/>
        <v>29</v>
      </c>
    </row>
    <row r="77" spans="1:13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9">
        <f t="shared" ca="1" si="1"/>
        <v>29</v>
      </c>
    </row>
    <row r="78" spans="1:13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9">
        <f t="shared" ca="1" si="1"/>
        <v>30</v>
      </c>
    </row>
    <row r="79" spans="1:13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9">
        <f t="shared" ca="1" si="1"/>
        <v>29</v>
      </c>
    </row>
    <row r="80" spans="1:13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9">
        <f t="shared" ca="1" si="1"/>
        <v>30</v>
      </c>
    </row>
    <row r="81" spans="1:13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9">
        <f t="shared" ca="1" si="1"/>
        <v>29</v>
      </c>
    </row>
    <row r="82" spans="1:13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9">
        <f t="shared" ca="1" si="1"/>
        <v>30</v>
      </c>
    </row>
    <row r="83" spans="1:13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9">
        <f t="shared" ca="1" si="1"/>
        <v>28</v>
      </c>
    </row>
    <row r="84" spans="1:13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9">
        <f t="shared" ca="1" si="1"/>
        <v>29</v>
      </c>
    </row>
    <row r="85" spans="1:13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9">
        <f t="shared" ca="1" si="1"/>
        <v>30</v>
      </c>
    </row>
    <row r="86" spans="1:13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9">
        <f t="shared" ca="1" si="1"/>
        <v>29</v>
      </c>
    </row>
    <row r="87" spans="1:13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9">
        <f t="shared" ca="1" si="1"/>
        <v>30</v>
      </c>
    </row>
    <row r="88" spans="1:13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9">
        <f t="shared" ca="1" si="1"/>
        <v>29</v>
      </c>
    </row>
    <row r="89" spans="1:13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9">
        <f t="shared" ca="1" si="1"/>
        <v>30</v>
      </c>
    </row>
    <row r="90" spans="1:13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9">
        <f t="shared" ca="1" si="1"/>
        <v>29</v>
      </c>
    </row>
    <row r="91" spans="1:13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9">
        <f t="shared" ca="1" si="1"/>
        <v>29</v>
      </c>
    </row>
    <row r="92" spans="1:13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9">
        <f t="shared" ca="1" si="1"/>
        <v>29</v>
      </c>
    </row>
    <row r="93" spans="1:13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9">
        <f t="shared" ca="1" si="1"/>
        <v>30</v>
      </c>
    </row>
    <row r="94" spans="1:13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9">
        <f t="shared" ca="1" si="1"/>
        <v>30</v>
      </c>
    </row>
    <row r="95" spans="1:13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9">
        <f t="shared" ca="1" si="1"/>
        <v>29</v>
      </c>
    </row>
    <row r="96" spans="1:13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9">
        <f t="shared" ca="1" si="1"/>
        <v>28</v>
      </c>
    </row>
    <row r="97" spans="1:13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9">
        <f t="shared" ca="1" si="1"/>
        <v>29</v>
      </c>
    </row>
    <row r="98" spans="1:13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9">
        <f t="shared" ca="1" si="1"/>
        <v>30</v>
      </c>
    </row>
    <row r="99" spans="1:13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9">
        <f t="shared" ca="1" si="1"/>
        <v>30</v>
      </c>
    </row>
    <row r="100" spans="1:13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9">
        <f t="shared" ca="1" si="1"/>
        <v>30</v>
      </c>
    </row>
    <row r="101" spans="1:13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9">
        <f t="shared" ca="1" si="1"/>
        <v>29</v>
      </c>
    </row>
    <row r="102" spans="1:13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9">
        <f t="shared" ca="1" si="1"/>
        <v>29</v>
      </c>
    </row>
    <row r="103" spans="1:13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9">
        <f t="shared" ca="1" si="1"/>
        <v>29</v>
      </c>
    </row>
    <row r="104" spans="1:13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9">
        <f t="shared" ca="1" si="1"/>
        <v>30</v>
      </c>
    </row>
    <row r="105" spans="1:13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9">
        <f t="shared" ca="1" si="1"/>
        <v>29</v>
      </c>
    </row>
    <row r="106" spans="1:13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9">
        <f t="shared" ca="1" si="1"/>
        <v>28</v>
      </c>
    </row>
    <row r="107" spans="1:13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9">
        <f t="shared" ca="1" si="1"/>
        <v>30</v>
      </c>
    </row>
    <row r="108" spans="1:13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9">
        <f t="shared" ca="1" si="1"/>
        <v>30</v>
      </c>
    </row>
    <row r="109" spans="1:13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9">
        <f t="shared" ca="1" si="1"/>
        <v>29</v>
      </c>
    </row>
    <row r="110" spans="1:13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9">
        <f t="shared" ca="1" si="1"/>
        <v>30</v>
      </c>
    </row>
    <row r="111" spans="1:13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9">
        <f t="shared" ca="1" si="1"/>
        <v>30</v>
      </c>
    </row>
    <row r="112" spans="1:13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9">
        <f t="shared" ca="1" si="1"/>
        <v>29</v>
      </c>
    </row>
    <row r="113" spans="1:13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9">
        <f t="shared" ca="1" si="1"/>
        <v>30</v>
      </c>
    </row>
    <row r="114" spans="1:13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9">
        <f t="shared" ca="1" si="1"/>
        <v>28</v>
      </c>
    </row>
    <row r="115" spans="1:13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9">
        <f t="shared" ca="1" si="1"/>
        <v>30</v>
      </c>
    </row>
    <row r="116" spans="1:13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9">
        <f t="shared" ca="1" si="1"/>
        <v>30</v>
      </c>
    </row>
    <row r="117" spans="1:13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9">
        <f t="shared" ca="1" si="1"/>
        <v>29</v>
      </c>
    </row>
    <row r="118" spans="1:13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9">
        <f t="shared" ca="1" si="1"/>
        <v>29</v>
      </c>
    </row>
    <row r="119" spans="1:13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9">
        <f t="shared" ca="1" si="1"/>
        <v>29</v>
      </c>
    </row>
    <row r="120" spans="1:13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9">
        <f t="shared" ca="1" si="1"/>
        <v>29</v>
      </c>
    </row>
    <row r="121" spans="1:13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9">
        <f t="shared" ca="1" si="1"/>
        <v>30</v>
      </c>
    </row>
    <row r="122" spans="1:13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9">
        <f t="shared" ca="1" si="1"/>
        <v>30</v>
      </c>
    </row>
    <row r="123" spans="1:13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9">
        <f t="shared" ca="1" si="1"/>
        <v>30</v>
      </c>
    </row>
    <row r="124" spans="1:13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9">
        <f t="shared" ca="1" si="1"/>
        <v>29</v>
      </c>
    </row>
    <row r="125" spans="1:13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9">
        <f t="shared" ca="1" si="1"/>
        <v>28</v>
      </c>
    </row>
    <row r="126" spans="1:13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9">
        <f t="shared" ca="1" si="1"/>
        <v>30</v>
      </c>
    </row>
    <row r="127" spans="1:13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9">
        <f t="shared" ca="1" si="1"/>
        <v>29</v>
      </c>
    </row>
    <row r="128" spans="1:13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9">
        <f t="shared" ca="1" si="1"/>
        <v>30</v>
      </c>
    </row>
    <row r="129" spans="1:13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9">
        <f t="shared" ca="1" si="1"/>
        <v>29</v>
      </c>
    </row>
    <row r="130" spans="1:13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9">
        <f t="shared" ca="1" si="1"/>
        <v>30</v>
      </c>
    </row>
    <row r="131" spans="1:13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9">
        <f t="shared" ref="M131:M194" ca="1" si="2">DATEDIF(L131,TODAY(),"Y")</f>
        <v>30</v>
      </c>
    </row>
    <row r="132" spans="1:13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9">
        <f t="shared" ca="1" si="2"/>
        <v>29</v>
      </c>
    </row>
    <row r="133" spans="1:13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9">
        <f t="shared" ca="1" si="2"/>
        <v>30</v>
      </c>
    </row>
    <row r="134" spans="1:13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9">
        <f t="shared" ca="1" si="2"/>
        <v>30</v>
      </c>
    </row>
    <row r="135" spans="1:13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9">
        <f t="shared" ca="1" si="2"/>
        <v>28</v>
      </c>
    </row>
    <row r="136" spans="1:13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9">
        <f t="shared" ca="1" si="2"/>
        <v>29</v>
      </c>
    </row>
    <row r="137" spans="1:13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9">
        <f t="shared" ca="1" si="2"/>
        <v>28</v>
      </c>
    </row>
    <row r="138" spans="1:13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9">
        <f t="shared" ca="1" si="2"/>
        <v>30</v>
      </c>
    </row>
    <row r="139" spans="1:13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9">
        <f t="shared" ca="1" si="2"/>
        <v>30</v>
      </c>
    </row>
    <row r="140" spans="1:13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9">
        <f t="shared" ca="1" si="2"/>
        <v>30</v>
      </c>
    </row>
    <row r="141" spans="1:13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9">
        <f t="shared" ca="1" si="2"/>
        <v>29</v>
      </c>
    </row>
    <row r="142" spans="1:13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9">
        <f t="shared" ca="1" si="2"/>
        <v>28</v>
      </c>
    </row>
    <row r="143" spans="1:13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9">
        <f t="shared" ca="1" si="2"/>
        <v>29</v>
      </c>
    </row>
    <row r="144" spans="1:13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9">
        <f t="shared" ca="1" si="2"/>
        <v>27</v>
      </c>
    </row>
    <row r="145" spans="1:13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9">
        <f t="shared" ca="1" si="2"/>
        <v>30</v>
      </c>
    </row>
    <row r="146" spans="1:13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9">
        <f t="shared" ca="1" si="2"/>
        <v>29</v>
      </c>
    </row>
    <row r="147" spans="1:13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9">
        <f t="shared" ca="1" si="2"/>
        <v>30</v>
      </c>
    </row>
    <row r="148" spans="1:13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9">
        <f t="shared" ca="1" si="2"/>
        <v>29</v>
      </c>
    </row>
    <row r="149" spans="1:13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9">
        <f t="shared" ca="1" si="2"/>
        <v>29</v>
      </c>
    </row>
    <row r="150" spans="1:13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9">
        <f t="shared" ca="1" si="2"/>
        <v>30</v>
      </c>
    </row>
    <row r="151" spans="1:13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9">
        <f t="shared" ca="1" si="2"/>
        <v>29</v>
      </c>
    </row>
    <row r="152" spans="1:13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9">
        <f t="shared" ca="1" si="2"/>
        <v>30</v>
      </c>
    </row>
    <row r="153" spans="1:13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9">
        <f t="shared" ca="1" si="2"/>
        <v>30</v>
      </c>
    </row>
    <row r="154" spans="1:13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9">
        <f t="shared" ca="1" si="2"/>
        <v>29</v>
      </c>
    </row>
    <row r="155" spans="1:13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9">
        <f t="shared" ca="1" si="2"/>
        <v>30</v>
      </c>
    </row>
    <row r="156" spans="1:13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9">
        <f t="shared" ca="1" si="2"/>
        <v>30</v>
      </c>
    </row>
    <row r="157" spans="1:13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9">
        <f t="shared" ca="1" si="2"/>
        <v>30</v>
      </c>
    </row>
    <row r="158" spans="1:13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9">
        <f t="shared" ca="1" si="2"/>
        <v>30</v>
      </c>
    </row>
    <row r="159" spans="1:13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9">
        <f t="shared" ca="1" si="2"/>
        <v>29</v>
      </c>
    </row>
    <row r="160" spans="1:13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9">
        <f t="shared" ca="1" si="2"/>
        <v>28</v>
      </c>
    </row>
    <row r="161" spans="1:13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9">
        <f t="shared" ca="1" si="2"/>
        <v>30</v>
      </c>
    </row>
    <row r="162" spans="1:13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9">
        <f t="shared" ca="1" si="2"/>
        <v>29</v>
      </c>
    </row>
    <row r="163" spans="1:13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9">
        <f t="shared" ca="1" si="2"/>
        <v>30</v>
      </c>
    </row>
    <row r="164" spans="1:13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9">
        <f t="shared" ca="1" si="2"/>
        <v>29</v>
      </c>
    </row>
    <row r="165" spans="1:13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9">
        <f t="shared" ca="1" si="2"/>
        <v>30</v>
      </c>
    </row>
    <row r="166" spans="1:13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9">
        <f t="shared" ca="1" si="2"/>
        <v>29</v>
      </c>
    </row>
    <row r="167" spans="1:13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9">
        <f t="shared" ca="1" si="2"/>
        <v>29</v>
      </c>
    </row>
    <row r="168" spans="1:13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9">
        <f t="shared" ca="1" si="2"/>
        <v>29</v>
      </c>
    </row>
    <row r="169" spans="1:13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9">
        <f t="shared" ca="1" si="2"/>
        <v>30</v>
      </c>
    </row>
    <row r="170" spans="1:13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9">
        <f t="shared" ca="1" si="2"/>
        <v>30</v>
      </c>
    </row>
    <row r="171" spans="1:13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9">
        <f t="shared" ca="1" si="2"/>
        <v>29</v>
      </c>
    </row>
    <row r="172" spans="1:13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9">
        <f t="shared" ca="1" si="2"/>
        <v>29</v>
      </c>
    </row>
    <row r="173" spans="1:13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9">
        <f t="shared" ca="1" si="2"/>
        <v>30</v>
      </c>
    </row>
    <row r="174" spans="1:13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9">
        <f t="shared" ca="1" si="2"/>
        <v>30</v>
      </c>
    </row>
    <row r="175" spans="1:13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9">
        <f t="shared" ca="1" si="2"/>
        <v>30</v>
      </c>
    </row>
    <row r="176" spans="1:13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9">
        <f t="shared" ca="1" si="2"/>
        <v>28</v>
      </c>
    </row>
    <row r="177" spans="1:13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9">
        <f t="shared" ca="1" si="2"/>
        <v>30</v>
      </c>
    </row>
    <row r="178" spans="1:13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9">
        <f t="shared" ca="1" si="2"/>
        <v>30</v>
      </c>
    </row>
    <row r="179" spans="1:13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9">
        <f t="shared" ca="1" si="2"/>
        <v>30</v>
      </c>
    </row>
    <row r="180" spans="1:13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9">
        <f t="shared" ca="1" si="2"/>
        <v>30</v>
      </c>
    </row>
    <row r="181" spans="1:13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9">
        <f t="shared" ca="1" si="2"/>
        <v>28</v>
      </c>
    </row>
    <row r="182" spans="1:13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9">
        <f t="shared" ca="1" si="2"/>
        <v>29</v>
      </c>
    </row>
    <row r="183" spans="1:13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9">
        <f t="shared" ca="1" si="2"/>
        <v>27</v>
      </c>
    </row>
    <row r="184" spans="1:13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9">
        <f t="shared" ca="1" si="2"/>
        <v>29</v>
      </c>
    </row>
    <row r="185" spans="1:13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9">
        <f t="shared" ca="1" si="2"/>
        <v>29</v>
      </c>
    </row>
    <row r="186" spans="1:13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9">
        <f t="shared" ca="1" si="2"/>
        <v>28</v>
      </c>
    </row>
    <row r="187" spans="1:13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9">
        <f t="shared" ca="1" si="2"/>
        <v>29</v>
      </c>
    </row>
    <row r="188" spans="1:13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9">
        <f t="shared" ca="1" si="2"/>
        <v>28</v>
      </c>
    </row>
    <row r="189" spans="1:13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9">
        <f t="shared" ca="1" si="2"/>
        <v>28</v>
      </c>
    </row>
    <row r="190" spans="1:13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9">
        <f t="shared" ca="1" si="2"/>
        <v>30</v>
      </c>
    </row>
    <row r="191" spans="1:13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9">
        <f t="shared" ca="1" si="2"/>
        <v>30</v>
      </c>
    </row>
    <row r="192" spans="1:13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9">
        <f t="shared" ca="1" si="2"/>
        <v>29</v>
      </c>
    </row>
    <row r="193" spans="1:13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9">
        <f t="shared" ca="1" si="2"/>
        <v>29</v>
      </c>
    </row>
    <row r="194" spans="1:13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9">
        <f t="shared" ca="1" si="2"/>
        <v>29</v>
      </c>
    </row>
    <row r="195" spans="1:13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9">
        <f t="shared" ref="M195:M258" ca="1" si="3">DATEDIF(L195,TODAY(),"Y")</f>
        <v>29</v>
      </c>
    </row>
    <row r="196" spans="1:13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9">
        <f t="shared" ca="1" si="3"/>
        <v>30</v>
      </c>
    </row>
    <row r="197" spans="1:13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9">
        <f t="shared" ca="1" si="3"/>
        <v>29</v>
      </c>
    </row>
    <row r="198" spans="1:13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9">
        <f t="shared" ca="1" si="3"/>
        <v>25</v>
      </c>
    </row>
    <row r="199" spans="1:13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9">
        <f t="shared" ca="1" si="3"/>
        <v>30</v>
      </c>
    </row>
    <row r="200" spans="1:13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9">
        <f t="shared" ca="1" si="3"/>
        <v>28</v>
      </c>
    </row>
    <row r="201" spans="1:13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9">
        <f t="shared" ca="1" si="3"/>
        <v>29</v>
      </c>
    </row>
    <row r="202" spans="1:13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9">
        <f t="shared" ca="1" si="3"/>
        <v>28</v>
      </c>
    </row>
    <row r="203" spans="1:13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9">
        <f t="shared" ca="1" si="3"/>
        <v>29</v>
      </c>
    </row>
    <row r="204" spans="1:13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9">
        <f t="shared" ca="1" si="3"/>
        <v>29</v>
      </c>
    </row>
    <row r="205" spans="1:13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9">
        <f t="shared" ca="1" si="3"/>
        <v>27</v>
      </c>
    </row>
    <row r="206" spans="1:13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9">
        <f t="shared" ca="1" si="3"/>
        <v>29</v>
      </c>
    </row>
    <row r="207" spans="1:13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9">
        <f t="shared" ca="1" si="3"/>
        <v>27</v>
      </c>
    </row>
    <row r="208" spans="1:13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9">
        <f t="shared" ca="1" si="3"/>
        <v>30</v>
      </c>
    </row>
    <row r="209" spans="1:13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9">
        <f t="shared" ca="1" si="3"/>
        <v>28</v>
      </c>
    </row>
    <row r="210" spans="1:13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9">
        <f t="shared" ca="1" si="3"/>
        <v>29</v>
      </c>
    </row>
    <row r="211" spans="1:13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9">
        <f t="shared" ca="1" si="3"/>
        <v>30</v>
      </c>
    </row>
    <row r="212" spans="1:13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9">
        <f t="shared" ca="1" si="3"/>
        <v>29</v>
      </c>
    </row>
    <row r="213" spans="1:13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9">
        <f t="shared" ca="1" si="3"/>
        <v>29</v>
      </c>
    </row>
    <row r="214" spans="1:13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9">
        <f t="shared" ca="1" si="3"/>
        <v>29</v>
      </c>
    </row>
    <row r="215" spans="1:13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9">
        <f t="shared" ca="1" si="3"/>
        <v>30</v>
      </c>
    </row>
    <row r="216" spans="1:13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9">
        <f t="shared" ca="1" si="3"/>
        <v>29</v>
      </c>
    </row>
    <row r="217" spans="1:13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9">
        <f t="shared" ca="1" si="3"/>
        <v>29</v>
      </c>
    </row>
    <row r="218" spans="1:13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9">
        <f t="shared" ca="1" si="3"/>
        <v>29</v>
      </c>
    </row>
    <row r="219" spans="1:13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9">
        <f t="shared" ca="1" si="3"/>
        <v>29</v>
      </c>
    </row>
    <row r="220" spans="1:13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9">
        <f t="shared" ca="1" si="3"/>
        <v>29</v>
      </c>
    </row>
    <row r="221" spans="1:13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9">
        <f t="shared" ca="1" si="3"/>
        <v>29</v>
      </c>
    </row>
    <row r="222" spans="1:13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9">
        <f t="shared" ca="1" si="3"/>
        <v>29</v>
      </c>
    </row>
    <row r="223" spans="1:13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9">
        <f t="shared" ca="1" si="3"/>
        <v>29</v>
      </c>
    </row>
    <row r="224" spans="1:13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9">
        <f t="shared" ca="1" si="3"/>
        <v>29</v>
      </c>
    </row>
    <row r="225" spans="1:13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9">
        <f t="shared" ca="1" si="3"/>
        <v>29</v>
      </c>
    </row>
    <row r="226" spans="1:13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9">
        <f t="shared" ca="1" si="3"/>
        <v>29</v>
      </c>
    </row>
    <row r="227" spans="1:13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9">
        <f t="shared" ca="1" si="3"/>
        <v>29</v>
      </c>
    </row>
    <row r="228" spans="1:13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9">
        <f t="shared" ca="1" si="3"/>
        <v>28</v>
      </c>
    </row>
    <row r="229" spans="1:13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9">
        <f t="shared" ca="1" si="3"/>
        <v>30</v>
      </c>
    </row>
    <row r="230" spans="1:13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9">
        <f t="shared" ca="1" si="3"/>
        <v>29</v>
      </c>
    </row>
    <row r="231" spans="1:13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9">
        <f t="shared" ca="1" si="3"/>
        <v>29</v>
      </c>
    </row>
    <row r="232" spans="1:13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9">
        <f t="shared" ca="1" si="3"/>
        <v>29</v>
      </c>
    </row>
    <row r="233" spans="1:13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9">
        <f t="shared" ca="1" si="3"/>
        <v>30</v>
      </c>
    </row>
    <row r="234" spans="1:13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9">
        <f t="shared" ca="1" si="3"/>
        <v>30</v>
      </c>
    </row>
    <row r="235" spans="1:13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9">
        <f t="shared" ca="1" si="3"/>
        <v>28</v>
      </c>
    </row>
    <row r="236" spans="1:13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9">
        <f t="shared" ca="1" si="3"/>
        <v>29</v>
      </c>
    </row>
    <row r="237" spans="1:13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9">
        <f t="shared" ca="1" si="3"/>
        <v>29</v>
      </c>
    </row>
    <row r="238" spans="1:13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9">
        <f t="shared" ca="1" si="3"/>
        <v>30</v>
      </c>
    </row>
    <row r="239" spans="1:13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9">
        <f t="shared" ca="1" si="3"/>
        <v>29</v>
      </c>
    </row>
    <row r="240" spans="1:13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9">
        <f t="shared" ca="1" si="3"/>
        <v>30</v>
      </c>
    </row>
    <row r="241" spans="1:13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9">
        <f t="shared" ca="1" si="3"/>
        <v>29</v>
      </c>
    </row>
    <row r="242" spans="1:13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9">
        <f t="shared" ca="1" si="3"/>
        <v>30</v>
      </c>
    </row>
    <row r="243" spans="1:13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9">
        <f t="shared" ca="1" si="3"/>
        <v>30</v>
      </c>
    </row>
    <row r="244" spans="1:13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9">
        <f t="shared" ca="1" si="3"/>
        <v>30</v>
      </c>
    </row>
    <row r="245" spans="1:13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9">
        <f t="shared" ca="1" si="3"/>
        <v>29</v>
      </c>
    </row>
    <row r="246" spans="1:13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9">
        <f t="shared" ca="1" si="3"/>
        <v>29</v>
      </c>
    </row>
    <row r="247" spans="1:13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9">
        <f t="shared" ca="1" si="3"/>
        <v>29</v>
      </c>
    </row>
    <row r="248" spans="1:13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9">
        <f t="shared" ca="1" si="3"/>
        <v>30</v>
      </c>
    </row>
    <row r="249" spans="1:13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9">
        <f t="shared" ca="1" si="3"/>
        <v>29</v>
      </c>
    </row>
    <row r="250" spans="1:13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9">
        <f t="shared" ca="1" si="3"/>
        <v>24</v>
      </c>
    </row>
    <row r="251" spans="1:13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9">
        <f t="shared" ca="1" si="3"/>
        <v>29</v>
      </c>
    </row>
    <row r="252" spans="1:13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9">
        <f t="shared" ca="1" si="3"/>
        <v>28</v>
      </c>
    </row>
    <row r="253" spans="1:13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9">
        <f t="shared" ca="1" si="3"/>
        <v>29</v>
      </c>
    </row>
    <row r="254" spans="1:13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9">
        <f t="shared" ca="1" si="3"/>
        <v>29</v>
      </c>
    </row>
    <row r="255" spans="1:13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9">
        <f t="shared" ca="1" si="3"/>
        <v>29</v>
      </c>
    </row>
    <row r="256" spans="1:13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9">
        <f t="shared" ca="1" si="3"/>
        <v>29</v>
      </c>
    </row>
    <row r="257" spans="1:13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9">
        <f t="shared" ca="1" si="3"/>
        <v>29</v>
      </c>
    </row>
    <row r="258" spans="1:13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9">
        <f t="shared" ca="1" si="3"/>
        <v>29</v>
      </c>
    </row>
    <row r="259" spans="1:13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9">
        <f t="shared" ref="M259:M322" ca="1" si="4">DATEDIF(L259,TODAY(),"Y")</f>
        <v>30</v>
      </c>
    </row>
    <row r="260" spans="1:13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9">
        <f t="shared" ca="1" si="4"/>
        <v>29</v>
      </c>
    </row>
    <row r="261" spans="1:13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9">
        <f t="shared" ca="1" si="4"/>
        <v>30</v>
      </c>
    </row>
    <row r="262" spans="1:13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9">
        <f t="shared" ca="1" si="4"/>
        <v>29</v>
      </c>
    </row>
    <row r="263" spans="1:13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9">
        <f t="shared" ca="1" si="4"/>
        <v>30</v>
      </c>
    </row>
    <row r="264" spans="1:13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9">
        <f t="shared" ca="1" si="4"/>
        <v>29</v>
      </c>
    </row>
    <row r="265" spans="1:13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9">
        <f t="shared" ca="1" si="4"/>
        <v>29</v>
      </c>
    </row>
    <row r="266" spans="1:13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9">
        <f t="shared" ca="1" si="4"/>
        <v>29</v>
      </c>
    </row>
    <row r="267" spans="1:13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9">
        <f t="shared" ca="1" si="4"/>
        <v>30</v>
      </c>
    </row>
    <row r="268" spans="1:13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9">
        <f t="shared" ca="1" si="4"/>
        <v>30</v>
      </c>
    </row>
    <row r="269" spans="1:13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9">
        <f t="shared" ca="1" si="4"/>
        <v>29</v>
      </c>
    </row>
    <row r="270" spans="1:13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9">
        <f t="shared" ca="1" si="4"/>
        <v>30</v>
      </c>
    </row>
    <row r="271" spans="1:13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9">
        <f t="shared" ca="1" si="4"/>
        <v>28</v>
      </c>
    </row>
    <row r="272" spans="1:13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9">
        <f t="shared" ca="1" si="4"/>
        <v>30</v>
      </c>
    </row>
    <row r="273" spans="1:13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9">
        <f t="shared" ca="1" si="4"/>
        <v>28</v>
      </c>
    </row>
    <row r="274" spans="1:13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9">
        <f t="shared" ca="1" si="4"/>
        <v>29</v>
      </c>
    </row>
    <row r="275" spans="1:13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9">
        <f t="shared" ca="1" si="4"/>
        <v>28</v>
      </c>
    </row>
    <row r="276" spans="1:13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9">
        <f t="shared" ca="1" si="4"/>
        <v>29</v>
      </c>
    </row>
    <row r="277" spans="1:13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9">
        <f t="shared" ca="1" si="4"/>
        <v>30</v>
      </c>
    </row>
    <row r="278" spans="1:13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9">
        <f t="shared" ca="1" si="4"/>
        <v>29</v>
      </c>
    </row>
    <row r="279" spans="1:13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9">
        <f t="shared" ca="1" si="4"/>
        <v>30</v>
      </c>
    </row>
    <row r="280" spans="1:13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9">
        <f t="shared" ca="1" si="4"/>
        <v>29</v>
      </c>
    </row>
    <row r="281" spans="1:13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9">
        <f t="shared" ca="1" si="4"/>
        <v>29</v>
      </c>
    </row>
    <row r="282" spans="1:13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9">
        <f t="shared" ca="1" si="4"/>
        <v>29</v>
      </c>
    </row>
    <row r="283" spans="1:13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9">
        <f t="shared" ca="1" si="4"/>
        <v>29</v>
      </c>
    </row>
    <row r="284" spans="1:13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9">
        <f t="shared" ca="1" si="4"/>
        <v>29</v>
      </c>
    </row>
    <row r="285" spans="1:13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9">
        <f t="shared" ca="1" si="4"/>
        <v>29</v>
      </c>
    </row>
    <row r="286" spans="1:13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9">
        <f t="shared" ca="1" si="4"/>
        <v>30</v>
      </c>
    </row>
    <row r="287" spans="1:13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9">
        <f t="shared" ca="1" si="4"/>
        <v>29</v>
      </c>
    </row>
    <row r="288" spans="1:13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9">
        <f t="shared" ca="1" si="4"/>
        <v>29</v>
      </c>
    </row>
    <row r="289" spans="1:13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9">
        <f t="shared" ca="1" si="4"/>
        <v>29</v>
      </c>
    </row>
    <row r="290" spans="1:13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9">
        <f t="shared" ca="1" si="4"/>
        <v>28</v>
      </c>
    </row>
    <row r="291" spans="1:13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9">
        <f t="shared" ca="1" si="4"/>
        <v>30</v>
      </c>
    </row>
    <row r="292" spans="1:13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9">
        <f t="shared" ca="1" si="4"/>
        <v>29</v>
      </c>
    </row>
    <row r="293" spans="1:13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9">
        <f t="shared" ca="1" si="4"/>
        <v>29</v>
      </c>
    </row>
    <row r="294" spans="1:13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9">
        <f t="shared" ca="1" si="4"/>
        <v>29</v>
      </c>
    </row>
    <row r="295" spans="1:13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9">
        <f t="shared" ca="1" si="4"/>
        <v>29</v>
      </c>
    </row>
    <row r="296" spans="1:13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9">
        <f t="shared" ca="1" si="4"/>
        <v>30</v>
      </c>
    </row>
    <row r="297" spans="1:13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9">
        <f t="shared" ca="1" si="4"/>
        <v>30</v>
      </c>
    </row>
    <row r="298" spans="1:13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9">
        <f t="shared" ca="1" si="4"/>
        <v>29</v>
      </c>
    </row>
    <row r="299" spans="1:13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9">
        <f t="shared" ca="1" si="4"/>
        <v>30</v>
      </c>
    </row>
    <row r="300" spans="1:13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9">
        <f t="shared" ca="1" si="4"/>
        <v>29</v>
      </c>
    </row>
    <row r="301" spans="1:13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9">
        <f t="shared" ca="1" si="4"/>
        <v>28</v>
      </c>
    </row>
    <row r="302" spans="1:13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9">
        <f t="shared" ca="1" si="4"/>
        <v>29</v>
      </c>
    </row>
    <row r="303" spans="1:13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9">
        <f t="shared" ca="1" si="4"/>
        <v>30</v>
      </c>
    </row>
    <row r="304" spans="1:13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9">
        <f t="shared" ca="1" si="4"/>
        <v>29</v>
      </c>
    </row>
    <row r="305" spans="1:13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9">
        <f t="shared" ca="1" si="4"/>
        <v>30</v>
      </c>
    </row>
    <row r="306" spans="1:13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9">
        <f t="shared" ca="1" si="4"/>
        <v>29</v>
      </c>
    </row>
    <row r="307" spans="1:13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9">
        <f t="shared" ca="1" si="4"/>
        <v>30</v>
      </c>
    </row>
    <row r="308" spans="1:13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9">
        <f t="shared" ca="1" si="4"/>
        <v>28</v>
      </c>
    </row>
    <row r="309" spans="1:13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9">
        <f t="shared" ca="1" si="4"/>
        <v>29</v>
      </c>
    </row>
    <row r="310" spans="1:13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9">
        <f t="shared" ca="1" si="4"/>
        <v>30</v>
      </c>
    </row>
    <row r="311" spans="1:13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9">
        <f t="shared" ca="1" si="4"/>
        <v>29</v>
      </c>
    </row>
    <row r="312" spans="1:13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9">
        <f t="shared" ca="1" si="4"/>
        <v>30</v>
      </c>
    </row>
    <row r="313" spans="1:13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9">
        <f t="shared" ca="1" si="4"/>
        <v>30</v>
      </c>
    </row>
    <row r="314" spans="1:13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9">
        <f t="shared" ca="1" si="4"/>
        <v>30</v>
      </c>
    </row>
    <row r="315" spans="1:13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9">
        <f t="shared" ca="1" si="4"/>
        <v>29</v>
      </c>
    </row>
    <row r="316" spans="1:13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9">
        <f t="shared" ca="1" si="4"/>
        <v>29</v>
      </c>
    </row>
    <row r="317" spans="1:13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9">
        <f t="shared" ca="1" si="4"/>
        <v>27</v>
      </c>
    </row>
    <row r="318" spans="1:13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9">
        <f t="shared" ca="1" si="4"/>
        <v>30</v>
      </c>
    </row>
    <row r="319" spans="1:13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9">
        <f t="shared" ca="1" si="4"/>
        <v>29</v>
      </c>
    </row>
    <row r="320" spans="1:13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9">
        <f t="shared" ca="1" si="4"/>
        <v>29</v>
      </c>
    </row>
    <row r="321" spans="1:13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9">
        <f t="shared" ca="1" si="4"/>
        <v>30</v>
      </c>
    </row>
    <row r="322" spans="1:13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9">
        <f t="shared" ca="1" si="4"/>
        <v>30</v>
      </c>
    </row>
    <row r="323" spans="1:13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9">
        <f t="shared" ref="M323:M386" ca="1" si="5">DATEDIF(L323,TODAY(),"Y")</f>
        <v>30</v>
      </c>
    </row>
    <row r="324" spans="1:13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9">
        <f t="shared" ca="1" si="5"/>
        <v>29</v>
      </c>
    </row>
    <row r="325" spans="1:13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9">
        <f t="shared" ca="1" si="5"/>
        <v>29</v>
      </c>
    </row>
    <row r="326" spans="1:13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9">
        <f t="shared" ca="1" si="5"/>
        <v>29</v>
      </c>
    </row>
    <row r="327" spans="1:13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9">
        <f t="shared" ca="1" si="5"/>
        <v>29</v>
      </c>
    </row>
    <row r="328" spans="1:13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9">
        <f t="shared" ca="1" si="5"/>
        <v>28</v>
      </c>
    </row>
    <row r="329" spans="1:13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9">
        <f t="shared" ca="1" si="5"/>
        <v>30</v>
      </c>
    </row>
    <row r="330" spans="1:13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9">
        <f t="shared" ca="1" si="5"/>
        <v>30</v>
      </c>
    </row>
    <row r="331" spans="1:13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9">
        <f t="shared" ca="1" si="5"/>
        <v>29</v>
      </c>
    </row>
    <row r="332" spans="1:13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9">
        <f t="shared" ca="1" si="5"/>
        <v>29</v>
      </c>
    </row>
    <row r="333" spans="1:13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9">
        <f t="shared" ca="1" si="5"/>
        <v>29</v>
      </c>
    </row>
    <row r="334" spans="1:13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9">
        <f t="shared" ca="1" si="5"/>
        <v>29</v>
      </c>
    </row>
    <row r="335" spans="1:13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9">
        <f t="shared" ca="1" si="5"/>
        <v>29</v>
      </c>
    </row>
    <row r="336" spans="1:13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9">
        <f t="shared" ca="1" si="5"/>
        <v>29</v>
      </c>
    </row>
    <row r="337" spans="1:13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9">
        <f t="shared" ca="1" si="5"/>
        <v>29</v>
      </c>
    </row>
    <row r="338" spans="1:13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9">
        <f t="shared" ca="1" si="5"/>
        <v>29</v>
      </c>
    </row>
    <row r="339" spans="1:13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9">
        <f t="shared" ca="1" si="5"/>
        <v>30</v>
      </c>
    </row>
    <row r="340" spans="1:13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9">
        <f t="shared" ca="1" si="5"/>
        <v>30</v>
      </c>
    </row>
    <row r="341" spans="1:13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9">
        <f t="shared" ca="1" si="5"/>
        <v>30</v>
      </c>
    </row>
    <row r="342" spans="1:13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9">
        <f t="shared" ca="1" si="5"/>
        <v>28</v>
      </c>
    </row>
    <row r="343" spans="1:13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9">
        <f t="shared" ca="1" si="5"/>
        <v>28</v>
      </c>
    </row>
    <row r="344" spans="1:13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9">
        <f t="shared" ca="1" si="5"/>
        <v>29</v>
      </c>
    </row>
    <row r="345" spans="1:13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9">
        <f t="shared" ca="1" si="5"/>
        <v>30</v>
      </c>
    </row>
    <row r="346" spans="1:13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9">
        <f t="shared" ca="1" si="5"/>
        <v>29</v>
      </c>
    </row>
    <row r="347" spans="1:13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9">
        <f t="shared" ca="1" si="5"/>
        <v>29</v>
      </c>
    </row>
    <row r="348" spans="1:13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9">
        <f t="shared" ca="1" si="5"/>
        <v>29</v>
      </c>
    </row>
    <row r="349" spans="1:13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9">
        <f t="shared" ca="1" si="5"/>
        <v>30</v>
      </c>
    </row>
    <row r="350" spans="1:13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9">
        <f t="shared" ca="1" si="5"/>
        <v>30</v>
      </c>
    </row>
    <row r="351" spans="1:13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9">
        <f t="shared" ca="1" si="5"/>
        <v>29</v>
      </c>
    </row>
    <row r="352" spans="1:13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9">
        <f t="shared" ca="1" si="5"/>
        <v>30</v>
      </c>
    </row>
    <row r="353" spans="1:13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9">
        <f t="shared" ca="1" si="5"/>
        <v>30</v>
      </c>
    </row>
    <row r="354" spans="1:13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9">
        <f t="shared" ca="1" si="5"/>
        <v>29</v>
      </c>
    </row>
    <row r="355" spans="1:13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9">
        <f t="shared" ca="1" si="5"/>
        <v>30</v>
      </c>
    </row>
    <row r="356" spans="1:13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9">
        <f t="shared" ca="1" si="5"/>
        <v>30</v>
      </c>
    </row>
    <row r="357" spans="1:13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9">
        <f t="shared" ca="1" si="5"/>
        <v>29</v>
      </c>
    </row>
    <row r="358" spans="1:13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9">
        <f t="shared" ca="1" si="5"/>
        <v>30</v>
      </c>
    </row>
    <row r="359" spans="1:13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9">
        <f t="shared" ca="1" si="5"/>
        <v>27</v>
      </c>
    </row>
    <row r="360" spans="1:13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9">
        <f t="shared" ca="1" si="5"/>
        <v>30</v>
      </c>
    </row>
    <row r="361" spans="1:13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9">
        <f t="shared" ca="1" si="5"/>
        <v>29</v>
      </c>
    </row>
    <row r="362" spans="1:13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9">
        <f t="shared" ca="1" si="5"/>
        <v>29</v>
      </c>
    </row>
    <row r="363" spans="1:13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9">
        <f t="shared" ca="1" si="5"/>
        <v>29</v>
      </c>
    </row>
    <row r="364" spans="1:13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9">
        <f t="shared" ca="1" si="5"/>
        <v>27</v>
      </c>
    </row>
    <row r="365" spans="1:13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9">
        <f t="shared" ca="1" si="5"/>
        <v>29</v>
      </c>
    </row>
    <row r="366" spans="1:13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9">
        <f t="shared" ca="1" si="5"/>
        <v>30</v>
      </c>
    </row>
    <row r="367" spans="1:13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9">
        <f t="shared" ca="1" si="5"/>
        <v>29</v>
      </c>
    </row>
    <row r="368" spans="1:13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9">
        <f t="shared" ca="1" si="5"/>
        <v>29</v>
      </c>
    </row>
    <row r="369" spans="1:13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9">
        <f t="shared" ca="1" si="5"/>
        <v>29</v>
      </c>
    </row>
    <row r="370" spans="1:13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9">
        <f t="shared" ca="1" si="5"/>
        <v>30</v>
      </c>
    </row>
    <row r="371" spans="1:13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9">
        <f t="shared" ca="1" si="5"/>
        <v>30</v>
      </c>
    </row>
    <row r="372" spans="1:13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9">
        <f t="shared" ca="1" si="5"/>
        <v>29</v>
      </c>
    </row>
    <row r="373" spans="1:13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9">
        <f t="shared" ca="1" si="5"/>
        <v>28</v>
      </c>
    </row>
    <row r="374" spans="1:13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9">
        <f t="shared" ca="1" si="5"/>
        <v>29</v>
      </c>
    </row>
    <row r="375" spans="1:13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9">
        <f t="shared" ca="1" si="5"/>
        <v>29</v>
      </c>
    </row>
    <row r="376" spans="1:13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9">
        <f t="shared" ca="1" si="5"/>
        <v>30</v>
      </c>
    </row>
    <row r="377" spans="1:13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9">
        <f t="shared" ca="1" si="5"/>
        <v>30</v>
      </c>
    </row>
    <row r="378" spans="1:13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9">
        <f t="shared" ca="1" si="5"/>
        <v>29</v>
      </c>
    </row>
    <row r="379" spans="1:13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9">
        <f t="shared" ca="1" si="5"/>
        <v>28</v>
      </c>
    </row>
    <row r="380" spans="1:13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9">
        <f t="shared" ca="1" si="5"/>
        <v>29</v>
      </c>
    </row>
    <row r="381" spans="1:13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9">
        <f t="shared" ca="1" si="5"/>
        <v>29</v>
      </c>
    </row>
    <row r="382" spans="1:13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9">
        <f t="shared" ca="1" si="5"/>
        <v>30</v>
      </c>
    </row>
    <row r="383" spans="1:13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9">
        <f t="shared" ca="1" si="5"/>
        <v>30</v>
      </c>
    </row>
    <row r="384" spans="1:13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9">
        <f t="shared" ca="1" si="5"/>
        <v>30</v>
      </c>
    </row>
    <row r="385" spans="1:13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9">
        <f t="shared" ca="1" si="5"/>
        <v>29</v>
      </c>
    </row>
    <row r="386" spans="1:13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9">
        <f t="shared" ca="1" si="5"/>
        <v>30</v>
      </c>
    </row>
    <row r="387" spans="1:13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9">
        <f t="shared" ref="M387:M450" ca="1" si="6">DATEDIF(L387,TODAY(),"Y")</f>
        <v>28</v>
      </c>
    </row>
    <row r="388" spans="1:13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9">
        <f t="shared" ca="1" si="6"/>
        <v>30</v>
      </c>
    </row>
    <row r="389" spans="1:13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9">
        <f t="shared" ca="1" si="6"/>
        <v>29</v>
      </c>
    </row>
    <row r="390" spans="1:13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9">
        <f t="shared" ca="1" si="6"/>
        <v>28</v>
      </c>
    </row>
    <row r="391" spans="1:13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9">
        <f t="shared" ca="1" si="6"/>
        <v>30</v>
      </c>
    </row>
    <row r="392" spans="1:13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9">
        <f t="shared" ca="1" si="6"/>
        <v>30</v>
      </c>
    </row>
    <row r="393" spans="1:13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9">
        <f t="shared" ca="1" si="6"/>
        <v>30</v>
      </c>
    </row>
    <row r="394" spans="1:13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9">
        <f t="shared" ca="1" si="6"/>
        <v>28</v>
      </c>
    </row>
    <row r="395" spans="1:13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9">
        <f t="shared" ca="1" si="6"/>
        <v>29</v>
      </c>
    </row>
    <row r="396" spans="1:13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9">
        <f t="shared" ca="1" si="6"/>
        <v>30</v>
      </c>
    </row>
    <row r="397" spans="1:13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9">
        <f t="shared" ca="1" si="6"/>
        <v>29</v>
      </c>
    </row>
    <row r="398" spans="1:13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9">
        <f t="shared" ca="1" si="6"/>
        <v>30</v>
      </c>
    </row>
    <row r="399" spans="1:13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9">
        <f t="shared" ca="1" si="6"/>
        <v>29</v>
      </c>
    </row>
    <row r="400" spans="1:13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9">
        <f t="shared" ca="1" si="6"/>
        <v>29</v>
      </c>
    </row>
    <row r="401" spans="1:13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9">
        <f t="shared" ca="1" si="6"/>
        <v>29</v>
      </c>
    </row>
    <row r="402" spans="1:13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9">
        <f t="shared" ca="1" si="6"/>
        <v>30</v>
      </c>
    </row>
    <row r="403" spans="1:13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9">
        <f t="shared" ca="1" si="6"/>
        <v>30</v>
      </c>
    </row>
    <row r="404" spans="1:13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9">
        <f t="shared" ca="1" si="6"/>
        <v>29</v>
      </c>
    </row>
    <row r="405" spans="1:13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9">
        <f t="shared" ca="1" si="6"/>
        <v>29</v>
      </c>
    </row>
    <row r="406" spans="1:13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9">
        <f t="shared" ca="1" si="6"/>
        <v>29</v>
      </c>
    </row>
    <row r="407" spans="1:13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9">
        <f t="shared" ca="1" si="6"/>
        <v>30</v>
      </c>
    </row>
    <row r="408" spans="1:13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9">
        <f t="shared" ca="1" si="6"/>
        <v>30</v>
      </c>
    </row>
    <row r="409" spans="1:13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9">
        <f t="shared" ca="1" si="6"/>
        <v>28</v>
      </c>
    </row>
    <row r="410" spans="1:13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9">
        <f t="shared" ca="1" si="6"/>
        <v>29</v>
      </c>
    </row>
    <row r="411" spans="1:13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9">
        <f t="shared" ca="1" si="6"/>
        <v>28</v>
      </c>
    </row>
    <row r="412" spans="1:13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9">
        <f t="shared" ca="1" si="6"/>
        <v>29</v>
      </c>
    </row>
    <row r="413" spans="1:13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9">
        <f t="shared" ca="1" si="6"/>
        <v>30</v>
      </c>
    </row>
    <row r="414" spans="1:13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9">
        <f t="shared" ca="1" si="6"/>
        <v>29</v>
      </c>
    </row>
    <row r="415" spans="1:13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9">
        <f t="shared" ca="1" si="6"/>
        <v>30</v>
      </c>
    </row>
    <row r="416" spans="1:13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9">
        <f t="shared" ca="1" si="6"/>
        <v>29</v>
      </c>
    </row>
    <row r="417" spans="1:13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9">
        <f t="shared" ca="1" si="6"/>
        <v>28</v>
      </c>
    </row>
    <row r="418" spans="1:13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9">
        <f t="shared" ca="1" si="6"/>
        <v>30</v>
      </c>
    </row>
    <row r="419" spans="1:13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9">
        <f t="shared" ca="1" si="6"/>
        <v>29</v>
      </c>
    </row>
    <row r="420" spans="1:13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9">
        <f t="shared" ca="1" si="6"/>
        <v>27</v>
      </c>
    </row>
    <row r="421" spans="1:13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9">
        <f t="shared" ca="1" si="6"/>
        <v>28</v>
      </c>
    </row>
    <row r="422" spans="1:13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9">
        <f t="shared" ca="1" si="6"/>
        <v>28</v>
      </c>
    </row>
    <row r="423" spans="1:13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9">
        <f t="shared" ca="1" si="6"/>
        <v>30</v>
      </c>
    </row>
    <row r="424" spans="1:13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9">
        <f t="shared" ca="1" si="6"/>
        <v>27</v>
      </c>
    </row>
    <row r="425" spans="1:13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9">
        <f t="shared" ca="1" si="6"/>
        <v>30</v>
      </c>
    </row>
    <row r="426" spans="1:13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9">
        <f t="shared" ca="1" si="6"/>
        <v>29</v>
      </c>
    </row>
    <row r="427" spans="1:13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9">
        <f t="shared" ca="1" si="6"/>
        <v>30</v>
      </c>
    </row>
    <row r="428" spans="1:13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9">
        <f t="shared" ca="1" si="6"/>
        <v>29</v>
      </c>
    </row>
    <row r="429" spans="1:13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9">
        <f t="shared" ca="1" si="6"/>
        <v>30</v>
      </c>
    </row>
    <row r="430" spans="1:13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9">
        <f t="shared" ca="1" si="6"/>
        <v>29</v>
      </c>
    </row>
    <row r="431" spans="1:13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9">
        <f t="shared" ca="1" si="6"/>
        <v>28</v>
      </c>
    </row>
    <row r="432" spans="1:13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9">
        <f t="shared" ca="1" si="6"/>
        <v>30</v>
      </c>
    </row>
    <row r="433" spans="1:13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9">
        <f t="shared" ca="1" si="6"/>
        <v>30</v>
      </c>
    </row>
    <row r="434" spans="1:13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9">
        <f t="shared" ca="1" si="6"/>
        <v>29</v>
      </c>
    </row>
    <row r="435" spans="1:13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9">
        <f t="shared" ca="1" si="6"/>
        <v>29</v>
      </c>
    </row>
    <row r="436" spans="1:13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9">
        <f t="shared" ca="1" si="6"/>
        <v>30</v>
      </c>
    </row>
    <row r="437" spans="1:13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9">
        <f t="shared" ca="1" si="6"/>
        <v>27</v>
      </c>
    </row>
    <row r="438" spans="1:13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9">
        <f t="shared" ca="1" si="6"/>
        <v>30</v>
      </c>
    </row>
    <row r="439" spans="1:13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9">
        <f t="shared" ca="1" si="6"/>
        <v>30</v>
      </c>
    </row>
    <row r="440" spans="1:13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9">
        <f t="shared" ca="1" si="6"/>
        <v>30</v>
      </c>
    </row>
    <row r="441" spans="1:13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9">
        <f t="shared" ca="1" si="6"/>
        <v>29</v>
      </c>
    </row>
    <row r="442" spans="1:13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9">
        <f t="shared" ca="1" si="6"/>
        <v>30</v>
      </c>
    </row>
    <row r="443" spans="1:13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9">
        <f t="shared" ca="1" si="6"/>
        <v>28</v>
      </c>
    </row>
    <row r="444" spans="1:13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9">
        <f t="shared" ca="1" si="6"/>
        <v>29</v>
      </c>
    </row>
    <row r="445" spans="1:13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9">
        <f t="shared" ca="1" si="6"/>
        <v>29</v>
      </c>
    </row>
    <row r="446" spans="1:13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9">
        <f t="shared" ca="1" si="6"/>
        <v>30</v>
      </c>
    </row>
    <row r="447" spans="1:13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9">
        <f t="shared" ca="1" si="6"/>
        <v>30</v>
      </c>
    </row>
    <row r="448" spans="1:13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9">
        <f t="shared" ca="1" si="6"/>
        <v>29</v>
      </c>
    </row>
    <row r="449" spans="1:13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9">
        <f t="shared" ca="1" si="6"/>
        <v>29</v>
      </c>
    </row>
    <row r="450" spans="1:13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9">
        <f t="shared" ca="1" si="6"/>
        <v>28</v>
      </c>
    </row>
    <row r="451" spans="1:13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9">
        <f t="shared" ref="M451:M514" ca="1" si="7">DATEDIF(L451,TODAY(),"Y")</f>
        <v>30</v>
      </c>
    </row>
    <row r="452" spans="1:13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9">
        <f t="shared" ca="1" si="7"/>
        <v>29</v>
      </c>
    </row>
    <row r="453" spans="1:13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9">
        <f t="shared" ca="1" si="7"/>
        <v>28</v>
      </c>
    </row>
    <row r="454" spans="1:13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9">
        <f t="shared" ca="1" si="7"/>
        <v>29</v>
      </c>
    </row>
    <row r="455" spans="1:13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9">
        <f t="shared" ca="1" si="7"/>
        <v>30</v>
      </c>
    </row>
    <row r="456" spans="1:13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9">
        <f t="shared" ca="1" si="7"/>
        <v>29</v>
      </c>
    </row>
    <row r="457" spans="1:13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9">
        <f t="shared" ca="1" si="7"/>
        <v>29</v>
      </c>
    </row>
    <row r="458" spans="1:13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9">
        <f t="shared" ca="1" si="7"/>
        <v>29</v>
      </c>
    </row>
    <row r="459" spans="1:13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9">
        <f t="shared" ca="1" si="7"/>
        <v>28</v>
      </c>
    </row>
    <row r="460" spans="1:13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9">
        <f t="shared" ca="1" si="7"/>
        <v>29</v>
      </c>
    </row>
    <row r="461" spans="1:13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9">
        <f t="shared" ca="1" si="7"/>
        <v>29</v>
      </c>
    </row>
    <row r="462" spans="1:13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9">
        <f t="shared" ca="1" si="7"/>
        <v>30</v>
      </c>
    </row>
    <row r="463" spans="1:13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9">
        <f t="shared" ca="1" si="7"/>
        <v>29</v>
      </c>
    </row>
    <row r="464" spans="1:13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9">
        <f t="shared" ca="1" si="7"/>
        <v>29</v>
      </c>
    </row>
    <row r="465" spans="1:13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9">
        <f t="shared" ca="1" si="7"/>
        <v>30</v>
      </c>
    </row>
    <row r="466" spans="1:13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9">
        <f t="shared" ca="1" si="7"/>
        <v>29</v>
      </c>
    </row>
    <row r="467" spans="1:13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9">
        <f t="shared" ca="1" si="7"/>
        <v>29</v>
      </c>
    </row>
    <row r="468" spans="1:13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9">
        <f t="shared" ca="1" si="7"/>
        <v>30</v>
      </c>
    </row>
    <row r="469" spans="1:13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9">
        <f t="shared" ca="1" si="7"/>
        <v>29</v>
      </c>
    </row>
    <row r="470" spans="1:13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9">
        <f t="shared" ca="1" si="7"/>
        <v>30</v>
      </c>
    </row>
    <row r="471" spans="1:13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9">
        <f t="shared" ca="1" si="7"/>
        <v>30</v>
      </c>
    </row>
    <row r="472" spans="1:13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9">
        <f t="shared" ca="1" si="7"/>
        <v>30</v>
      </c>
    </row>
    <row r="473" spans="1:13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9">
        <f t="shared" ca="1" si="7"/>
        <v>30</v>
      </c>
    </row>
    <row r="474" spans="1:13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9">
        <f t="shared" ca="1" si="7"/>
        <v>29</v>
      </c>
    </row>
    <row r="475" spans="1:13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9">
        <f t="shared" ca="1" si="7"/>
        <v>29</v>
      </c>
    </row>
    <row r="476" spans="1:13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9">
        <f t="shared" ca="1" si="7"/>
        <v>29</v>
      </c>
    </row>
    <row r="477" spans="1:13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9">
        <f t="shared" ca="1" si="7"/>
        <v>29</v>
      </c>
    </row>
    <row r="478" spans="1:13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9">
        <f t="shared" ca="1" si="7"/>
        <v>29</v>
      </c>
    </row>
    <row r="479" spans="1:13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9">
        <f t="shared" ca="1" si="7"/>
        <v>30</v>
      </c>
    </row>
    <row r="480" spans="1:13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9">
        <f t="shared" ca="1" si="7"/>
        <v>30</v>
      </c>
    </row>
    <row r="481" spans="1:13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9">
        <f t="shared" ca="1" si="7"/>
        <v>30</v>
      </c>
    </row>
    <row r="482" spans="1:13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9">
        <f t="shared" ca="1" si="7"/>
        <v>30</v>
      </c>
    </row>
    <row r="483" spans="1:13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9">
        <f t="shared" ca="1" si="7"/>
        <v>30</v>
      </c>
    </row>
    <row r="484" spans="1:13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9">
        <f t="shared" ca="1" si="7"/>
        <v>29</v>
      </c>
    </row>
    <row r="485" spans="1:13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9">
        <f t="shared" ca="1" si="7"/>
        <v>29</v>
      </c>
    </row>
    <row r="486" spans="1:13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9">
        <f t="shared" ca="1" si="7"/>
        <v>30</v>
      </c>
    </row>
    <row r="487" spans="1:13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9">
        <f t="shared" ca="1" si="7"/>
        <v>28</v>
      </c>
    </row>
    <row r="488" spans="1:13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9">
        <f t="shared" ca="1" si="7"/>
        <v>29</v>
      </c>
    </row>
    <row r="489" spans="1:13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9">
        <f t="shared" ca="1" si="7"/>
        <v>29</v>
      </c>
    </row>
    <row r="490" spans="1:13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9">
        <f t="shared" ca="1" si="7"/>
        <v>29</v>
      </c>
    </row>
    <row r="491" spans="1:13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9">
        <f t="shared" ca="1" si="7"/>
        <v>30</v>
      </c>
    </row>
    <row r="492" spans="1:13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9">
        <f t="shared" ca="1" si="7"/>
        <v>29</v>
      </c>
    </row>
    <row r="493" spans="1:13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9">
        <f t="shared" ca="1" si="7"/>
        <v>29</v>
      </c>
    </row>
    <row r="494" spans="1:13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9">
        <f t="shared" ca="1" si="7"/>
        <v>29</v>
      </c>
    </row>
    <row r="495" spans="1:13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9">
        <f t="shared" ca="1" si="7"/>
        <v>29</v>
      </c>
    </row>
    <row r="496" spans="1:13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9">
        <f t="shared" ca="1" si="7"/>
        <v>30</v>
      </c>
    </row>
    <row r="497" spans="1:13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9">
        <f t="shared" ca="1" si="7"/>
        <v>29</v>
      </c>
    </row>
    <row r="498" spans="1:13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9">
        <f t="shared" ca="1" si="7"/>
        <v>27</v>
      </c>
    </row>
    <row r="499" spans="1:13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9">
        <f t="shared" ca="1" si="7"/>
        <v>29</v>
      </c>
    </row>
    <row r="500" spans="1:13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9">
        <f t="shared" ca="1" si="7"/>
        <v>29</v>
      </c>
    </row>
    <row r="501" spans="1:13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9">
        <f t="shared" ca="1" si="7"/>
        <v>29</v>
      </c>
    </row>
    <row r="502" spans="1:13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9">
        <f t="shared" ca="1" si="7"/>
        <v>28</v>
      </c>
    </row>
    <row r="503" spans="1:13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9">
        <f t="shared" ca="1" si="7"/>
        <v>29</v>
      </c>
    </row>
    <row r="504" spans="1:13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9">
        <f t="shared" ca="1" si="7"/>
        <v>27</v>
      </c>
    </row>
    <row r="505" spans="1:13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9">
        <f t="shared" ca="1" si="7"/>
        <v>30</v>
      </c>
    </row>
    <row r="506" spans="1:13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9">
        <f t="shared" ca="1" si="7"/>
        <v>29</v>
      </c>
    </row>
    <row r="507" spans="1:13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9">
        <f t="shared" ca="1" si="7"/>
        <v>29</v>
      </c>
    </row>
    <row r="508" spans="1:13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9">
        <f t="shared" ca="1" si="7"/>
        <v>30</v>
      </c>
    </row>
    <row r="509" spans="1:13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9">
        <f t="shared" ca="1" si="7"/>
        <v>29</v>
      </c>
    </row>
    <row r="510" spans="1:13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9">
        <f t="shared" ca="1" si="7"/>
        <v>29</v>
      </c>
    </row>
    <row r="511" spans="1:13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9">
        <f t="shared" ca="1" si="7"/>
        <v>29</v>
      </c>
    </row>
    <row r="512" spans="1:13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9">
        <f t="shared" ca="1" si="7"/>
        <v>27</v>
      </c>
    </row>
    <row r="513" spans="1:13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9">
        <f t="shared" ca="1" si="7"/>
        <v>29</v>
      </c>
    </row>
    <row r="514" spans="1:13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9">
        <f t="shared" ca="1" si="7"/>
        <v>30</v>
      </c>
    </row>
    <row r="515" spans="1:13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9">
        <f t="shared" ref="M515:M578" ca="1" si="8">DATEDIF(L515,TODAY(),"Y")</f>
        <v>29</v>
      </c>
    </row>
    <row r="516" spans="1:13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9">
        <f t="shared" ca="1" si="8"/>
        <v>28</v>
      </c>
    </row>
    <row r="517" spans="1:13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9">
        <f t="shared" ca="1" si="8"/>
        <v>29</v>
      </c>
    </row>
    <row r="518" spans="1:13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9">
        <f t="shared" ca="1" si="8"/>
        <v>29</v>
      </c>
    </row>
    <row r="519" spans="1:13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9">
        <f t="shared" ca="1" si="8"/>
        <v>30</v>
      </c>
    </row>
    <row r="520" spans="1:13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9">
        <f t="shared" ca="1" si="8"/>
        <v>28</v>
      </c>
    </row>
    <row r="521" spans="1:13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9">
        <f t="shared" ca="1" si="8"/>
        <v>27</v>
      </c>
    </row>
    <row r="522" spans="1:13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9">
        <f t="shared" ca="1" si="8"/>
        <v>29</v>
      </c>
    </row>
    <row r="523" spans="1:13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9">
        <f t="shared" ca="1" si="8"/>
        <v>28</v>
      </c>
    </row>
    <row r="524" spans="1:13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9">
        <f t="shared" ca="1" si="8"/>
        <v>25</v>
      </c>
    </row>
    <row r="525" spans="1:13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9">
        <f t="shared" ca="1" si="8"/>
        <v>29</v>
      </c>
    </row>
    <row r="526" spans="1:13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9">
        <f t="shared" ca="1" si="8"/>
        <v>30</v>
      </c>
    </row>
    <row r="527" spans="1:13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9">
        <f t="shared" ca="1" si="8"/>
        <v>29</v>
      </c>
    </row>
    <row r="528" spans="1:13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9">
        <f t="shared" ca="1" si="8"/>
        <v>30</v>
      </c>
    </row>
    <row r="529" spans="1:13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9">
        <f t="shared" ca="1" si="8"/>
        <v>30</v>
      </c>
    </row>
    <row r="530" spans="1:13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9">
        <f t="shared" ca="1" si="8"/>
        <v>29</v>
      </c>
    </row>
    <row r="531" spans="1:13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9">
        <f t="shared" ca="1" si="8"/>
        <v>30</v>
      </c>
    </row>
    <row r="532" spans="1:13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9">
        <f t="shared" ca="1" si="8"/>
        <v>30</v>
      </c>
    </row>
    <row r="533" spans="1:13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9">
        <f t="shared" ca="1" si="8"/>
        <v>29</v>
      </c>
    </row>
    <row r="534" spans="1:13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9">
        <f t="shared" ca="1" si="8"/>
        <v>29</v>
      </c>
    </row>
    <row r="535" spans="1:13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9">
        <f t="shared" ca="1" si="8"/>
        <v>29</v>
      </c>
    </row>
    <row r="536" spans="1:13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9">
        <f t="shared" ca="1" si="8"/>
        <v>30</v>
      </c>
    </row>
    <row r="537" spans="1:13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9">
        <f t="shared" ca="1" si="8"/>
        <v>28</v>
      </c>
    </row>
    <row r="538" spans="1:13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9">
        <f t="shared" ca="1" si="8"/>
        <v>30</v>
      </c>
    </row>
    <row r="539" spans="1:13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9">
        <f t="shared" ca="1" si="8"/>
        <v>29</v>
      </c>
    </row>
    <row r="540" spans="1:13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9">
        <f t="shared" ca="1" si="8"/>
        <v>29</v>
      </c>
    </row>
    <row r="541" spans="1:13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9">
        <f t="shared" ca="1" si="8"/>
        <v>29</v>
      </c>
    </row>
    <row r="542" spans="1:13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9">
        <f t="shared" ca="1" si="8"/>
        <v>30</v>
      </c>
    </row>
    <row r="543" spans="1:13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9">
        <f t="shared" ca="1" si="8"/>
        <v>27</v>
      </c>
    </row>
    <row r="544" spans="1:13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9">
        <f t="shared" ca="1" si="8"/>
        <v>30</v>
      </c>
    </row>
    <row r="545" spans="1:13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9">
        <f t="shared" ca="1" si="8"/>
        <v>29</v>
      </c>
    </row>
    <row r="546" spans="1:13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9">
        <f t="shared" ca="1" si="8"/>
        <v>29</v>
      </c>
    </row>
    <row r="547" spans="1:13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9">
        <f t="shared" ca="1" si="8"/>
        <v>29</v>
      </c>
    </row>
    <row r="548" spans="1:13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9">
        <f t="shared" ca="1" si="8"/>
        <v>30</v>
      </c>
    </row>
    <row r="549" spans="1:13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9">
        <f t="shared" ca="1" si="8"/>
        <v>29</v>
      </c>
    </row>
    <row r="550" spans="1:13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9">
        <f t="shared" ca="1" si="8"/>
        <v>30</v>
      </c>
    </row>
    <row r="551" spans="1:13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9">
        <f t="shared" ca="1" si="8"/>
        <v>29</v>
      </c>
    </row>
    <row r="552" spans="1:13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9">
        <f t="shared" ca="1" si="8"/>
        <v>29</v>
      </c>
    </row>
    <row r="553" spans="1:13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9">
        <f t="shared" ca="1" si="8"/>
        <v>29</v>
      </c>
    </row>
    <row r="554" spans="1:13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9">
        <f t="shared" ca="1" si="8"/>
        <v>29</v>
      </c>
    </row>
    <row r="555" spans="1:13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9">
        <f t="shared" ca="1" si="8"/>
        <v>30</v>
      </c>
    </row>
    <row r="556" spans="1:13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9">
        <f t="shared" ca="1" si="8"/>
        <v>29</v>
      </c>
    </row>
    <row r="557" spans="1:13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9">
        <f t="shared" ca="1" si="8"/>
        <v>29</v>
      </c>
    </row>
    <row r="558" spans="1:13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9">
        <f t="shared" ca="1" si="8"/>
        <v>30</v>
      </c>
    </row>
    <row r="559" spans="1:13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9">
        <f t="shared" ca="1" si="8"/>
        <v>29</v>
      </c>
    </row>
    <row r="560" spans="1:13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9">
        <f t="shared" ca="1" si="8"/>
        <v>30</v>
      </c>
    </row>
    <row r="561" spans="1:13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9">
        <f t="shared" ca="1" si="8"/>
        <v>28</v>
      </c>
    </row>
    <row r="562" spans="1:13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9">
        <f t="shared" ca="1" si="8"/>
        <v>29</v>
      </c>
    </row>
    <row r="563" spans="1:13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9">
        <f t="shared" ca="1" si="8"/>
        <v>30</v>
      </c>
    </row>
    <row r="564" spans="1:13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9">
        <f t="shared" ca="1" si="8"/>
        <v>30</v>
      </c>
    </row>
    <row r="565" spans="1:13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9">
        <f t="shared" ca="1" si="8"/>
        <v>29</v>
      </c>
    </row>
    <row r="566" spans="1:13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9">
        <f t="shared" ca="1" si="8"/>
        <v>30</v>
      </c>
    </row>
    <row r="567" spans="1:13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9">
        <f t="shared" ca="1" si="8"/>
        <v>29</v>
      </c>
    </row>
    <row r="568" spans="1:13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9">
        <f t="shared" ca="1" si="8"/>
        <v>28</v>
      </c>
    </row>
    <row r="569" spans="1:13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9">
        <f t="shared" ca="1" si="8"/>
        <v>28</v>
      </c>
    </row>
    <row r="570" spans="1:13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9">
        <f t="shared" ca="1" si="8"/>
        <v>30</v>
      </c>
    </row>
    <row r="571" spans="1:13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9">
        <f t="shared" ca="1" si="8"/>
        <v>30</v>
      </c>
    </row>
    <row r="572" spans="1:13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9">
        <f t="shared" ca="1" si="8"/>
        <v>30</v>
      </c>
    </row>
    <row r="573" spans="1:13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9">
        <f t="shared" ca="1" si="8"/>
        <v>29</v>
      </c>
    </row>
    <row r="574" spans="1:13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9">
        <f t="shared" ca="1" si="8"/>
        <v>29</v>
      </c>
    </row>
    <row r="575" spans="1:13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9">
        <f t="shared" ca="1" si="8"/>
        <v>30</v>
      </c>
    </row>
    <row r="576" spans="1:13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9">
        <f t="shared" ca="1" si="8"/>
        <v>28</v>
      </c>
    </row>
    <row r="577" spans="1:13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9">
        <f t="shared" ca="1" si="8"/>
        <v>29</v>
      </c>
    </row>
    <row r="578" spans="1:13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9">
        <f t="shared" ca="1" si="8"/>
        <v>29</v>
      </c>
    </row>
    <row r="579" spans="1:13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9">
        <f t="shared" ref="M579:M642" ca="1" si="9">DATEDIF(L579,TODAY(),"Y")</f>
        <v>30</v>
      </c>
    </row>
    <row r="580" spans="1:13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9">
        <f t="shared" ca="1" si="9"/>
        <v>29</v>
      </c>
    </row>
    <row r="581" spans="1:13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9">
        <f t="shared" ca="1" si="9"/>
        <v>30</v>
      </c>
    </row>
    <row r="582" spans="1:13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9">
        <f t="shared" ca="1" si="9"/>
        <v>30</v>
      </c>
    </row>
    <row r="583" spans="1:13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9">
        <f t="shared" ca="1" si="9"/>
        <v>26</v>
      </c>
    </row>
    <row r="584" spans="1:13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9">
        <f t="shared" ca="1" si="9"/>
        <v>30</v>
      </c>
    </row>
    <row r="585" spans="1:13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9">
        <f t="shared" ca="1" si="9"/>
        <v>30</v>
      </c>
    </row>
    <row r="586" spans="1:13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9">
        <f t="shared" ca="1" si="9"/>
        <v>29</v>
      </c>
    </row>
    <row r="587" spans="1:13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9">
        <f t="shared" ca="1" si="9"/>
        <v>29</v>
      </c>
    </row>
    <row r="588" spans="1:13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9">
        <f t="shared" ca="1" si="9"/>
        <v>29</v>
      </c>
    </row>
    <row r="589" spans="1:13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9">
        <f t="shared" ca="1" si="9"/>
        <v>30</v>
      </c>
    </row>
    <row r="590" spans="1:13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9">
        <f t="shared" ca="1" si="9"/>
        <v>30</v>
      </c>
    </row>
    <row r="591" spans="1:13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9">
        <f t="shared" ca="1" si="9"/>
        <v>29</v>
      </c>
    </row>
    <row r="592" spans="1:13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9">
        <f t="shared" ca="1" si="9"/>
        <v>29</v>
      </c>
    </row>
    <row r="593" spans="1:13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9">
        <f t="shared" ca="1" si="9"/>
        <v>29</v>
      </c>
    </row>
    <row r="594" spans="1:13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9">
        <f t="shared" ca="1" si="9"/>
        <v>30</v>
      </c>
    </row>
    <row r="595" spans="1:13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9">
        <f t="shared" ca="1" si="9"/>
        <v>28</v>
      </c>
    </row>
    <row r="596" spans="1:13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9">
        <f t="shared" ca="1" si="9"/>
        <v>30</v>
      </c>
    </row>
    <row r="597" spans="1:13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9">
        <f t="shared" ca="1" si="9"/>
        <v>30</v>
      </c>
    </row>
    <row r="598" spans="1:13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9">
        <f t="shared" ca="1" si="9"/>
        <v>30</v>
      </c>
    </row>
    <row r="599" spans="1:13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9">
        <f t="shared" ca="1" si="9"/>
        <v>30</v>
      </c>
    </row>
    <row r="600" spans="1:13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9">
        <f t="shared" ca="1" si="9"/>
        <v>29</v>
      </c>
    </row>
    <row r="601" spans="1:13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9">
        <f t="shared" ca="1" si="9"/>
        <v>30</v>
      </c>
    </row>
    <row r="602" spans="1:13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9">
        <f t="shared" ca="1" si="9"/>
        <v>30</v>
      </c>
    </row>
    <row r="603" spans="1:13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9">
        <f t="shared" ca="1" si="9"/>
        <v>30</v>
      </c>
    </row>
    <row r="604" spans="1:13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9">
        <f t="shared" ca="1" si="9"/>
        <v>30</v>
      </c>
    </row>
    <row r="605" spans="1:13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9">
        <f t="shared" ca="1" si="9"/>
        <v>29</v>
      </c>
    </row>
    <row r="606" spans="1:13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9">
        <f t="shared" ca="1" si="9"/>
        <v>29</v>
      </c>
    </row>
    <row r="607" spans="1:13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9">
        <f t="shared" ca="1" si="9"/>
        <v>30</v>
      </c>
    </row>
    <row r="608" spans="1:13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9">
        <f t="shared" ca="1" si="9"/>
        <v>27</v>
      </c>
    </row>
    <row r="609" spans="1:13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9">
        <f t="shared" ca="1" si="9"/>
        <v>29</v>
      </c>
    </row>
    <row r="610" spans="1:13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9">
        <f t="shared" ca="1" si="9"/>
        <v>30</v>
      </c>
    </row>
    <row r="611" spans="1:13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9">
        <f t="shared" ca="1" si="9"/>
        <v>28</v>
      </c>
    </row>
    <row r="612" spans="1:13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9">
        <f t="shared" ca="1" si="9"/>
        <v>29</v>
      </c>
    </row>
    <row r="613" spans="1:13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9">
        <f t="shared" ca="1" si="9"/>
        <v>30</v>
      </c>
    </row>
    <row r="614" spans="1:13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9">
        <f t="shared" ca="1" si="9"/>
        <v>30</v>
      </c>
    </row>
    <row r="615" spans="1:13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9">
        <f t="shared" ca="1" si="9"/>
        <v>29</v>
      </c>
    </row>
    <row r="616" spans="1:13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9">
        <f t="shared" ca="1" si="9"/>
        <v>30</v>
      </c>
    </row>
    <row r="617" spans="1:13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9">
        <f t="shared" ca="1" si="9"/>
        <v>29</v>
      </c>
    </row>
    <row r="618" spans="1:13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9">
        <f t="shared" ca="1" si="9"/>
        <v>29</v>
      </c>
    </row>
    <row r="619" spans="1:13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9">
        <f t="shared" ca="1" si="9"/>
        <v>30</v>
      </c>
    </row>
    <row r="620" spans="1:13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9">
        <f t="shared" ca="1" si="9"/>
        <v>30</v>
      </c>
    </row>
    <row r="621" spans="1:13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9">
        <f t="shared" ca="1" si="9"/>
        <v>29</v>
      </c>
    </row>
    <row r="622" spans="1:13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9">
        <f t="shared" ca="1" si="9"/>
        <v>30</v>
      </c>
    </row>
    <row r="623" spans="1:13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9">
        <f t="shared" ca="1" si="9"/>
        <v>30</v>
      </c>
    </row>
    <row r="624" spans="1:13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9">
        <f t="shared" ca="1" si="9"/>
        <v>30</v>
      </c>
    </row>
    <row r="625" spans="1:13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9">
        <f t="shared" ca="1" si="9"/>
        <v>29</v>
      </c>
    </row>
    <row r="626" spans="1:13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9">
        <f t="shared" ca="1" si="9"/>
        <v>30</v>
      </c>
    </row>
    <row r="627" spans="1:13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9">
        <f t="shared" ca="1" si="9"/>
        <v>29</v>
      </c>
    </row>
    <row r="628" spans="1:13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9">
        <f t="shared" ca="1" si="9"/>
        <v>30</v>
      </c>
    </row>
    <row r="629" spans="1:13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9">
        <f t="shared" ca="1" si="9"/>
        <v>29</v>
      </c>
    </row>
    <row r="630" spans="1:13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9">
        <f t="shared" ca="1" si="9"/>
        <v>29</v>
      </c>
    </row>
    <row r="631" spans="1:13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9">
        <f t="shared" ca="1" si="9"/>
        <v>29</v>
      </c>
    </row>
    <row r="632" spans="1:13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9">
        <f t="shared" ca="1" si="9"/>
        <v>30</v>
      </c>
    </row>
    <row r="633" spans="1:13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9">
        <f t="shared" ca="1" si="9"/>
        <v>30</v>
      </c>
    </row>
    <row r="634" spans="1:13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9">
        <f t="shared" ca="1" si="9"/>
        <v>30</v>
      </c>
    </row>
    <row r="635" spans="1:13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9">
        <f t="shared" ca="1" si="9"/>
        <v>27</v>
      </c>
    </row>
    <row r="636" spans="1:13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9">
        <f t="shared" ca="1" si="9"/>
        <v>30</v>
      </c>
    </row>
    <row r="637" spans="1:13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9">
        <f t="shared" ca="1" si="9"/>
        <v>30</v>
      </c>
    </row>
    <row r="638" spans="1:13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9">
        <f t="shared" ca="1" si="9"/>
        <v>30</v>
      </c>
    </row>
    <row r="639" spans="1:13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9">
        <f t="shared" ca="1" si="9"/>
        <v>29</v>
      </c>
    </row>
    <row r="640" spans="1:13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9">
        <f t="shared" ca="1" si="9"/>
        <v>29</v>
      </c>
    </row>
    <row r="641" spans="1:13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9">
        <f t="shared" ca="1" si="9"/>
        <v>29</v>
      </c>
    </row>
    <row r="642" spans="1:13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9">
        <f t="shared" ca="1" si="9"/>
        <v>30</v>
      </c>
    </row>
    <row r="643" spans="1:13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9">
        <f t="shared" ref="M643:M706" ca="1" si="10">DATEDIF(L643,TODAY(),"Y")</f>
        <v>29</v>
      </c>
    </row>
    <row r="644" spans="1:13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9">
        <f t="shared" ca="1" si="10"/>
        <v>29</v>
      </c>
    </row>
    <row r="645" spans="1:13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9">
        <f t="shared" ca="1" si="10"/>
        <v>30</v>
      </c>
    </row>
    <row r="646" spans="1:13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9">
        <f t="shared" ca="1" si="10"/>
        <v>30</v>
      </c>
    </row>
    <row r="647" spans="1:13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9">
        <f t="shared" ca="1" si="10"/>
        <v>28</v>
      </c>
    </row>
    <row r="648" spans="1:13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9">
        <f t="shared" ca="1" si="10"/>
        <v>29</v>
      </c>
    </row>
    <row r="649" spans="1:13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9">
        <f t="shared" ca="1" si="10"/>
        <v>30</v>
      </c>
    </row>
    <row r="650" spans="1:13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9">
        <f t="shared" ca="1" si="10"/>
        <v>29</v>
      </c>
    </row>
    <row r="651" spans="1:13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9">
        <f t="shared" ca="1" si="10"/>
        <v>28</v>
      </c>
    </row>
    <row r="652" spans="1:13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9">
        <f t="shared" ca="1" si="10"/>
        <v>30</v>
      </c>
    </row>
    <row r="653" spans="1:13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9">
        <f t="shared" ca="1" si="10"/>
        <v>30</v>
      </c>
    </row>
    <row r="654" spans="1:13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9">
        <f t="shared" ca="1" si="10"/>
        <v>29</v>
      </c>
    </row>
    <row r="655" spans="1:13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9">
        <f t="shared" ca="1" si="10"/>
        <v>30</v>
      </c>
    </row>
    <row r="656" spans="1:13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9">
        <f t="shared" ca="1" si="10"/>
        <v>30</v>
      </c>
    </row>
    <row r="657" spans="1:13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9">
        <f t="shared" ca="1" si="10"/>
        <v>29</v>
      </c>
    </row>
    <row r="658" spans="1:13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9">
        <f t="shared" ca="1" si="10"/>
        <v>30</v>
      </c>
    </row>
    <row r="659" spans="1:13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9">
        <f t="shared" ca="1" si="10"/>
        <v>30</v>
      </c>
    </row>
    <row r="660" spans="1:13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9">
        <f t="shared" ca="1" si="10"/>
        <v>30</v>
      </c>
    </row>
    <row r="661" spans="1:13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9">
        <f t="shared" ca="1" si="10"/>
        <v>30</v>
      </c>
    </row>
    <row r="662" spans="1:13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9">
        <f t="shared" ca="1" si="10"/>
        <v>30</v>
      </c>
    </row>
    <row r="663" spans="1:13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9">
        <f t="shared" ca="1" si="10"/>
        <v>30</v>
      </c>
    </row>
    <row r="664" spans="1:13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9">
        <f t="shared" ca="1" si="10"/>
        <v>29</v>
      </c>
    </row>
    <row r="665" spans="1:13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9">
        <f t="shared" ca="1" si="10"/>
        <v>29</v>
      </c>
    </row>
    <row r="666" spans="1:13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9">
        <f t="shared" ca="1" si="10"/>
        <v>30</v>
      </c>
    </row>
    <row r="667" spans="1:13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9">
        <f t="shared" ca="1" si="10"/>
        <v>29</v>
      </c>
    </row>
    <row r="668" spans="1:13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9">
        <f t="shared" ca="1" si="10"/>
        <v>29</v>
      </c>
    </row>
    <row r="669" spans="1:13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9">
        <f t="shared" ca="1" si="10"/>
        <v>30</v>
      </c>
    </row>
    <row r="670" spans="1:13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9">
        <f t="shared" ca="1" si="10"/>
        <v>28</v>
      </c>
    </row>
    <row r="671" spans="1:13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9">
        <f t="shared" ca="1" si="10"/>
        <v>29</v>
      </c>
    </row>
    <row r="672" spans="1:13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9">
        <f t="shared" ca="1" si="10"/>
        <v>29</v>
      </c>
    </row>
    <row r="673" spans="1:13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9">
        <f t="shared" ca="1" si="10"/>
        <v>29</v>
      </c>
    </row>
    <row r="674" spans="1:13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9">
        <f t="shared" ca="1" si="10"/>
        <v>29</v>
      </c>
    </row>
    <row r="675" spans="1:13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9">
        <f t="shared" ca="1" si="10"/>
        <v>27</v>
      </c>
    </row>
    <row r="676" spans="1:13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9">
        <f t="shared" ca="1" si="10"/>
        <v>30</v>
      </c>
    </row>
    <row r="677" spans="1:13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9">
        <f t="shared" ca="1" si="10"/>
        <v>29</v>
      </c>
    </row>
    <row r="678" spans="1:13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9">
        <f t="shared" ca="1" si="10"/>
        <v>30</v>
      </c>
    </row>
    <row r="679" spans="1:13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9">
        <f t="shared" ca="1" si="10"/>
        <v>29</v>
      </c>
    </row>
    <row r="680" spans="1:13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9">
        <f t="shared" ca="1" si="10"/>
        <v>29</v>
      </c>
    </row>
    <row r="681" spans="1:13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9">
        <f t="shared" ca="1" si="10"/>
        <v>29</v>
      </c>
    </row>
    <row r="682" spans="1:13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9">
        <f t="shared" ca="1" si="10"/>
        <v>29</v>
      </c>
    </row>
    <row r="683" spans="1:13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9">
        <f t="shared" ca="1" si="10"/>
        <v>29</v>
      </c>
    </row>
    <row r="684" spans="1:13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9">
        <f t="shared" ca="1" si="10"/>
        <v>30</v>
      </c>
    </row>
    <row r="685" spans="1:13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9">
        <f t="shared" ca="1" si="10"/>
        <v>29</v>
      </c>
    </row>
    <row r="686" spans="1:13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9">
        <f t="shared" ca="1" si="10"/>
        <v>30</v>
      </c>
    </row>
    <row r="687" spans="1:13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9">
        <f t="shared" ca="1" si="10"/>
        <v>29</v>
      </c>
    </row>
    <row r="688" spans="1:13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9">
        <f t="shared" ca="1" si="10"/>
        <v>29</v>
      </c>
    </row>
    <row r="689" spans="1:13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9">
        <f t="shared" ca="1" si="10"/>
        <v>29</v>
      </c>
    </row>
    <row r="690" spans="1:13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9">
        <f t="shared" ca="1" si="10"/>
        <v>30</v>
      </c>
    </row>
    <row r="691" spans="1:13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9">
        <f t="shared" ca="1" si="10"/>
        <v>29</v>
      </c>
    </row>
    <row r="692" spans="1:13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9">
        <f t="shared" ca="1" si="10"/>
        <v>30</v>
      </c>
    </row>
    <row r="693" spans="1:13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9">
        <f t="shared" ca="1" si="10"/>
        <v>29</v>
      </c>
    </row>
    <row r="694" spans="1:13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9">
        <f t="shared" ca="1" si="10"/>
        <v>30</v>
      </c>
    </row>
    <row r="695" spans="1:13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9">
        <f t="shared" ca="1" si="10"/>
        <v>30</v>
      </c>
    </row>
    <row r="696" spans="1:13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9">
        <f t="shared" ca="1" si="10"/>
        <v>29</v>
      </c>
    </row>
    <row r="697" spans="1:13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9">
        <f t="shared" ca="1" si="10"/>
        <v>29</v>
      </c>
    </row>
    <row r="698" spans="1:13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9">
        <f t="shared" ca="1" si="10"/>
        <v>29</v>
      </c>
    </row>
    <row r="699" spans="1:13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9">
        <f t="shared" ca="1" si="10"/>
        <v>29</v>
      </c>
    </row>
    <row r="700" spans="1:13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9">
        <f t="shared" ca="1" si="10"/>
        <v>29</v>
      </c>
    </row>
    <row r="701" spans="1:13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9">
        <f t="shared" ca="1" si="10"/>
        <v>30</v>
      </c>
    </row>
    <row r="702" spans="1:13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9">
        <f t="shared" ca="1" si="10"/>
        <v>30</v>
      </c>
    </row>
    <row r="703" spans="1:13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9">
        <f t="shared" ca="1" si="10"/>
        <v>30</v>
      </c>
    </row>
    <row r="704" spans="1:13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9">
        <f t="shared" ca="1" si="10"/>
        <v>30</v>
      </c>
    </row>
    <row r="705" spans="1:13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9">
        <f t="shared" ca="1" si="10"/>
        <v>30</v>
      </c>
    </row>
    <row r="706" spans="1:13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9">
        <f t="shared" ca="1" si="10"/>
        <v>30</v>
      </c>
    </row>
    <row r="707" spans="1:13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9">
        <f t="shared" ref="M707:M770" ca="1" si="11">DATEDIF(L707,TODAY(),"Y")</f>
        <v>29</v>
      </c>
    </row>
    <row r="708" spans="1:13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9">
        <f t="shared" ca="1" si="11"/>
        <v>29</v>
      </c>
    </row>
    <row r="709" spans="1:13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9">
        <f t="shared" ca="1" si="11"/>
        <v>30</v>
      </c>
    </row>
    <row r="710" spans="1:13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9">
        <f t="shared" ca="1" si="11"/>
        <v>30</v>
      </c>
    </row>
    <row r="711" spans="1:13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9">
        <f t="shared" ca="1" si="11"/>
        <v>29</v>
      </c>
    </row>
    <row r="712" spans="1:13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9">
        <f t="shared" ca="1" si="11"/>
        <v>29</v>
      </c>
    </row>
    <row r="713" spans="1:13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9">
        <f t="shared" ca="1" si="11"/>
        <v>30</v>
      </c>
    </row>
    <row r="714" spans="1:13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9">
        <f t="shared" ca="1" si="11"/>
        <v>29</v>
      </c>
    </row>
    <row r="715" spans="1:13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9">
        <f t="shared" ca="1" si="11"/>
        <v>28</v>
      </c>
    </row>
    <row r="716" spans="1:13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9">
        <f t="shared" ca="1" si="11"/>
        <v>29</v>
      </c>
    </row>
    <row r="717" spans="1:13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9">
        <f t="shared" ca="1" si="11"/>
        <v>30</v>
      </c>
    </row>
    <row r="718" spans="1:13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9">
        <f t="shared" ca="1" si="11"/>
        <v>30</v>
      </c>
    </row>
    <row r="719" spans="1:13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9">
        <f t="shared" ca="1" si="11"/>
        <v>30</v>
      </c>
    </row>
    <row r="720" spans="1:13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9">
        <f t="shared" ca="1" si="11"/>
        <v>29</v>
      </c>
    </row>
    <row r="721" spans="1:13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9">
        <f t="shared" ca="1" si="11"/>
        <v>30</v>
      </c>
    </row>
    <row r="722" spans="1:13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9">
        <f t="shared" ca="1" si="11"/>
        <v>29</v>
      </c>
    </row>
    <row r="723" spans="1:13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9">
        <f t="shared" ca="1" si="11"/>
        <v>30</v>
      </c>
    </row>
    <row r="724" spans="1:13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9">
        <f t="shared" ca="1" si="11"/>
        <v>29</v>
      </c>
    </row>
    <row r="725" spans="1:13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9">
        <f t="shared" ca="1" si="11"/>
        <v>29</v>
      </c>
    </row>
    <row r="726" spans="1:13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9">
        <f t="shared" ca="1" si="11"/>
        <v>29</v>
      </c>
    </row>
    <row r="727" spans="1:13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9">
        <f t="shared" ca="1" si="11"/>
        <v>30</v>
      </c>
    </row>
    <row r="728" spans="1:13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9">
        <f t="shared" ca="1" si="11"/>
        <v>30</v>
      </c>
    </row>
    <row r="729" spans="1:13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9">
        <f t="shared" ca="1" si="11"/>
        <v>30</v>
      </c>
    </row>
    <row r="730" spans="1:13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9">
        <f t="shared" ca="1" si="11"/>
        <v>30</v>
      </c>
    </row>
    <row r="731" spans="1:13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9">
        <f t="shared" ca="1" si="11"/>
        <v>28</v>
      </c>
    </row>
    <row r="732" spans="1:13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9">
        <f t="shared" ca="1" si="11"/>
        <v>30</v>
      </c>
    </row>
    <row r="733" spans="1:13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9">
        <f t="shared" ca="1" si="11"/>
        <v>30</v>
      </c>
    </row>
    <row r="734" spans="1:13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9">
        <f t="shared" ca="1" si="11"/>
        <v>30</v>
      </c>
    </row>
    <row r="735" spans="1:13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9">
        <f t="shared" ca="1" si="11"/>
        <v>29</v>
      </c>
    </row>
    <row r="736" spans="1:13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9">
        <f t="shared" ca="1" si="11"/>
        <v>29</v>
      </c>
    </row>
    <row r="737" spans="1:13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9">
        <f t="shared" ca="1" si="11"/>
        <v>30</v>
      </c>
    </row>
    <row r="738" spans="1:13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9">
        <f t="shared" ca="1" si="11"/>
        <v>30</v>
      </c>
    </row>
    <row r="739" spans="1:13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9">
        <f t="shared" ca="1" si="11"/>
        <v>29</v>
      </c>
    </row>
    <row r="740" spans="1:13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9">
        <f t="shared" ca="1" si="11"/>
        <v>29</v>
      </c>
    </row>
    <row r="741" spans="1:13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9">
        <f t="shared" ca="1" si="11"/>
        <v>30</v>
      </c>
    </row>
    <row r="742" spans="1:13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9">
        <f t="shared" ca="1" si="11"/>
        <v>29</v>
      </c>
    </row>
    <row r="743" spans="1:13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9">
        <f t="shared" ca="1" si="11"/>
        <v>30</v>
      </c>
    </row>
    <row r="744" spans="1:13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9">
        <f t="shared" ca="1" si="11"/>
        <v>29</v>
      </c>
    </row>
    <row r="745" spans="1:13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9">
        <f t="shared" ca="1" si="11"/>
        <v>28</v>
      </c>
    </row>
    <row r="746" spans="1:13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9">
        <f t="shared" ca="1" si="11"/>
        <v>29</v>
      </c>
    </row>
    <row r="747" spans="1:13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9">
        <f t="shared" ca="1" si="11"/>
        <v>29</v>
      </c>
    </row>
    <row r="748" spans="1:13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9">
        <f t="shared" ca="1" si="11"/>
        <v>30</v>
      </c>
    </row>
    <row r="749" spans="1:13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9">
        <f t="shared" ca="1" si="11"/>
        <v>29</v>
      </c>
    </row>
    <row r="750" spans="1:13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9">
        <f t="shared" ca="1" si="11"/>
        <v>30</v>
      </c>
    </row>
    <row r="751" spans="1:13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9">
        <f t="shared" ca="1" si="11"/>
        <v>28</v>
      </c>
    </row>
    <row r="752" spans="1:13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9">
        <f t="shared" ca="1" si="11"/>
        <v>29</v>
      </c>
    </row>
    <row r="753" spans="1:13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9">
        <f t="shared" ca="1" si="11"/>
        <v>29</v>
      </c>
    </row>
    <row r="754" spans="1:13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9">
        <f t="shared" ca="1" si="11"/>
        <v>30</v>
      </c>
    </row>
    <row r="755" spans="1:13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9">
        <f t="shared" ca="1" si="11"/>
        <v>29</v>
      </c>
    </row>
    <row r="756" spans="1:13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9">
        <f t="shared" ca="1" si="11"/>
        <v>30</v>
      </c>
    </row>
    <row r="757" spans="1:13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9">
        <f t="shared" ca="1" si="11"/>
        <v>27</v>
      </c>
    </row>
    <row r="758" spans="1:13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9">
        <f t="shared" ca="1" si="11"/>
        <v>30</v>
      </c>
    </row>
    <row r="759" spans="1:13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9">
        <f t="shared" ca="1" si="11"/>
        <v>27</v>
      </c>
    </row>
    <row r="760" spans="1:13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9">
        <f t="shared" ca="1" si="11"/>
        <v>30</v>
      </c>
    </row>
    <row r="761" spans="1:13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9">
        <f t="shared" ca="1" si="11"/>
        <v>29</v>
      </c>
    </row>
    <row r="762" spans="1:13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9">
        <f t="shared" ca="1" si="11"/>
        <v>28</v>
      </c>
    </row>
    <row r="763" spans="1:13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9">
        <f t="shared" ca="1" si="11"/>
        <v>30</v>
      </c>
    </row>
    <row r="764" spans="1:13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9">
        <f t="shared" ca="1" si="11"/>
        <v>30</v>
      </c>
    </row>
    <row r="765" spans="1:13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9">
        <f t="shared" ca="1" si="11"/>
        <v>30</v>
      </c>
    </row>
    <row r="766" spans="1:13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9">
        <f t="shared" ca="1" si="11"/>
        <v>29</v>
      </c>
    </row>
    <row r="767" spans="1:13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9">
        <f t="shared" ca="1" si="11"/>
        <v>30</v>
      </c>
    </row>
    <row r="768" spans="1:13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9">
        <f t="shared" ca="1" si="11"/>
        <v>29</v>
      </c>
    </row>
    <row r="769" spans="1:13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9">
        <f t="shared" ca="1" si="11"/>
        <v>29</v>
      </c>
    </row>
    <row r="770" spans="1:13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9">
        <f t="shared" ca="1" si="11"/>
        <v>30</v>
      </c>
    </row>
    <row r="771" spans="1:13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9">
        <f t="shared" ref="M771:M834" ca="1" si="12">DATEDIF(L771,TODAY(),"Y")</f>
        <v>29</v>
      </c>
    </row>
    <row r="772" spans="1:13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9">
        <f t="shared" ca="1" si="12"/>
        <v>29</v>
      </c>
    </row>
    <row r="773" spans="1:13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9">
        <f t="shared" ca="1" si="12"/>
        <v>29</v>
      </c>
    </row>
    <row r="774" spans="1:13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9">
        <f t="shared" ca="1" si="12"/>
        <v>30</v>
      </c>
    </row>
    <row r="775" spans="1:13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9">
        <f t="shared" ca="1" si="12"/>
        <v>29</v>
      </c>
    </row>
    <row r="776" spans="1:13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9">
        <f t="shared" ca="1" si="12"/>
        <v>28</v>
      </c>
    </row>
    <row r="777" spans="1:13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9">
        <f t="shared" ca="1" si="12"/>
        <v>28</v>
      </c>
    </row>
    <row r="778" spans="1:13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9">
        <f t="shared" ca="1" si="12"/>
        <v>30</v>
      </c>
    </row>
    <row r="779" spans="1:13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9">
        <f t="shared" ca="1" si="12"/>
        <v>29</v>
      </c>
    </row>
    <row r="780" spans="1:13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9">
        <f t="shared" ca="1" si="12"/>
        <v>30</v>
      </c>
    </row>
    <row r="781" spans="1:13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9">
        <f t="shared" ca="1" si="12"/>
        <v>29</v>
      </c>
    </row>
    <row r="782" spans="1:13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9">
        <f t="shared" ca="1" si="12"/>
        <v>29</v>
      </c>
    </row>
    <row r="783" spans="1:13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9">
        <f t="shared" ca="1" si="12"/>
        <v>29</v>
      </c>
    </row>
    <row r="784" spans="1:13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9">
        <f t="shared" ca="1" si="12"/>
        <v>29</v>
      </c>
    </row>
    <row r="785" spans="1:13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9">
        <f t="shared" ca="1" si="12"/>
        <v>29</v>
      </c>
    </row>
    <row r="786" spans="1:13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9">
        <f t="shared" ca="1" si="12"/>
        <v>28</v>
      </c>
    </row>
    <row r="787" spans="1:13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9">
        <f t="shared" ca="1" si="12"/>
        <v>30</v>
      </c>
    </row>
    <row r="788" spans="1:13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9">
        <f t="shared" ca="1" si="12"/>
        <v>29</v>
      </c>
    </row>
    <row r="789" spans="1:13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9">
        <f t="shared" ca="1" si="12"/>
        <v>29</v>
      </c>
    </row>
    <row r="790" spans="1:13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9">
        <f t="shared" ca="1" si="12"/>
        <v>29</v>
      </c>
    </row>
    <row r="791" spans="1:13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9">
        <f t="shared" ca="1" si="12"/>
        <v>29</v>
      </c>
    </row>
    <row r="792" spans="1:13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9">
        <f t="shared" ca="1" si="12"/>
        <v>30</v>
      </c>
    </row>
    <row r="793" spans="1:13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9">
        <f t="shared" ca="1" si="12"/>
        <v>30</v>
      </c>
    </row>
    <row r="794" spans="1:13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9">
        <f t="shared" ca="1" si="12"/>
        <v>28</v>
      </c>
    </row>
    <row r="795" spans="1:13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9">
        <f t="shared" ca="1" si="12"/>
        <v>30</v>
      </c>
    </row>
    <row r="796" spans="1:13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9">
        <f t="shared" ca="1" si="12"/>
        <v>30</v>
      </c>
    </row>
    <row r="797" spans="1:13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9">
        <f t="shared" ca="1" si="12"/>
        <v>30</v>
      </c>
    </row>
    <row r="798" spans="1:13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9">
        <f t="shared" ca="1" si="12"/>
        <v>29</v>
      </c>
    </row>
    <row r="799" spans="1:13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9">
        <f t="shared" ca="1" si="12"/>
        <v>30</v>
      </c>
    </row>
    <row r="800" spans="1:13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9">
        <f t="shared" ca="1" si="12"/>
        <v>29</v>
      </c>
    </row>
    <row r="801" spans="1:13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9">
        <f t="shared" ca="1" si="12"/>
        <v>30</v>
      </c>
    </row>
    <row r="802" spans="1:13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9">
        <f t="shared" ca="1" si="12"/>
        <v>29</v>
      </c>
    </row>
    <row r="803" spans="1:13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9">
        <f t="shared" ca="1" si="12"/>
        <v>30</v>
      </c>
    </row>
    <row r="804" spans="1:13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9">
        <f t="shared" ca="1" si="12"/>
        <v>29</v>
      </c>
    </row>
    <row r="805" spans="1:13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9">
        <f t="shared" ca="1" si="12"/>
        <v>30</v>
      </c>
    </row>
    <row r="806" spans="1:13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9">
        <f t="shared" ca="1" si="12"/>
        <v>29</v>
      </c>
    </row>
    <row r="807" spans="1:13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9">
        <f t="shared" ca="1" si="12"/>
        <v>30</v>
      </c>
    </row>
    <row r="808" spans="1:13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9">
        <f t="shared" ca="1" si="12"/>
        <v>30</v>
      </c>
    </row>
    <row r="809" spans="1:13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9">
        <f t="shared" ca="1" si="12"/>
        <v>30</v>
      </c>
    </row>
    <row r="810" spans="1:13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9">
        <f t="shared" ca="1" si="12"/>
        <v>29</v>
      </c>
    </row>
    <row r="811" spans="1:13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9">
        <f t="shared" ca="1" si="12"/>
        <v>30</v>
      </c>
    </row>
    <row r="812" spans="1:13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9">
        <f t="shared" ca="1" si="12"/>
        <v>27</v>
      </c>
    </row>
    <row r="813" spans="1:13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9">
        <f t="shared" ca="1" si="12"/>
        <v>30</v>
      </c>
    </row>
    <row r="814" spans="1:13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9">
        <f t="shared" ca="1" si="12"/>
        <v>30</v>
      </c>
    </row>
    <row r="815" spans="1:13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9">
        <f t="shared" ca="1" si="12"/>
        <v>29</v>
      </c>
    </row>
    <row r="816" spans="1:13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9">
        <f t="shared" ca="1" si="12"/>
        <v>30</v>
      </c>
    </row>
    <row r="817" spans="1:13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9">
        <f t="shared" ca="1" si="12"/>
        <v>29</v>
      </c>
    </row>
    <row r="818" spans="1:13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9">
        <f t="shared" ca="1" si="12"/>
        <v>29</v>
      </c>
    </row>
    <row r="819" spans="1:13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9">
        <f t="shared" ca="1" si="12"/>
        <v>27</v>
      </c>
    </row>
    <row r="820" spans="1:13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9">
        <f t="shared" ca="1" si="12"/>
        <v>29</v>
      </c>
    </row>
    <row r="821" spans="1:13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9">
        <f t="shared" ca="1" si="12"/>
        <v>28</v>
      </c>
    </row>
    <row r="822" spans="1:13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9">
        <f t="shared" ca="1" si="12"/>
        <v>30</v>
      </c>
    </row>
    <row r="823" spans="1:13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9">
        <f t="shared" ca="1" si="12"/>
        <v>28</v>
      </c>
    </row>
    <row r="824" spans="1:13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9">
        <f t="shared" ca="1" si="12"/>
        <v>29</v>
      </c>
    </row>
    <row r="825" spans="1:13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9">
        <f t="shared" ca="1" si="12"/>
        <v>29</v>
      </c>
    </row>
    <row r="826" spans="1:13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9">
        <f t="shared" ca="1" si="12"/>
        <v>29</v>
      </c>
    </row>
    <row r="827" spans="1:13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9">
        <f t="shared" ca="1" si="12"/>
        <v>30</v>
      </c>
    </row>
    <row r="828" spans="1:13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9">
        <f t="shared" ca="1" si="12"/>
        <v>29</v>
      </c>
    </row>
    <row r="829" spans="1:13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9">
        <f t="shared" ca="1" si="12"/>
        <v>30</v>
      </c>
    </row>
    <row r="830" spans="1:13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9">
        <f t="shared" ca="1" si="12"/>
        <v>29</v>
      </c>
    </row>
    <row r="831" spans="1:13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9">
        <f t="shared" ca="1" si="12"/>
        <v>28</v>
      </c>
    </row>
    <row r="832" spans="1:13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9">
        <f t="shared" ca="1" si="12"/>
        <v>30</v>
      </c>
    </row>
    <row r="833" spans="1:13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9">
        <f t="shared" ca="1" si="12"/>
        <v>30</v>
      </c>
    </row>
    <row r="834" spans="1:13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9">
        <f t="shared" ca="1" si="12"/>
        <v>26</v>
      </c>
    </row>
    <row r="835" spans="1:13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9">
        <f t="shared" ref="M835:M898" ca="1" si="13">DATEDIF(L835,TODAY(),"Y")</f>
        <v>30</v>
      </c>
    </row>
    <row r="836" spans="1:13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9">
        <f t="shared" ca="1" si="13"/>
        <v>28</v>
      </c>
    </row>
    <row r="837" spans="1:13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9">
        <f t="shared" ca="1" si="13"/>
        <v>30</v>
      </c>
    </row>
    <row r="838" spans="1:13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9">
        <f t="shared" ca="1" si="13"/>
        <v>29</v>
      </c>
    </row>
    <row r="839" spans="1:13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9">
        <f t="shared" ca="1" si="13"/>
        <v>29</v>
      </c>
    </row>
    <row r="840" spans="1:13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9">
        <f t="shared" ca="1" si="13"/>
        <v>30</v>
      </c>
    </row>
    <row r="841" spans="1:13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9">
        <f t="shared" ca="1" si="13"/>
        <v>30</v>
      </c>
    </row>
    <row r="842" spans="1:13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9">
        <f t="shared" ca="1" si="13"/>
        <v>28</v>
      </c>
    </row>
    <row r="843" spans="1:13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9">
        <f t="shared" ca="1" si="13"/>
        <v>29</v>
      </c>
    </row>
    <row r="844" spans="1:13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9">
        <f t="shared" ca="1" si="13"/>
        <v>29</v>
      </c>
    </row>
    <row r="845" spans="1:13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9">
        <f t="shared" ca="1" si="13"/>
        <v>30</v>
      </c>
    </row>
    <row r="846" spans="1:13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9">
        <f t="shared" ca="1" si="13"/>
        <v>30</v>
      </c>
    </row>
    <row r="847" spans="1:13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9">
        <f t="shared" ca="1" si="13"/>
        <v>29</v>
      </c>
    </row>
    <row r="848" spans="1:13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9">
        <f t="shared" ca="1" si="13"/>
        <v>29</v>
      </c>
    </row>
    <row r="849" spans="1:13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9">
        <f t="shared" ca="1" si="13"/>
        <v>29</v>
      </c>
    </row>
    <row r="850" spans="1:13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9">
        <f t="shared" ca="1" si="13"/>
        <v>29</v>
      </c>
    </row>
    <row r="851" spans="1:13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9">
        <f t="shared" ca="1" si="13"/>
        <v>29</v>
      </c>
    </row>
    <row r="852" spans="1:13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9">
        <f t="shared" ca="1" si="13"/>
        <v>30</v>
      </c>
    </row>
    <row r="853" spans="1:13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9">
        <f t="shared" ca="1" si="13"/>
        <v>29</v>
      </c>
    </row>
    <row r="854" spans="1:13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9">
        <f t="shared" ca="1" si="13"/>
        <v>28</v>
      </c>
    </row>
    <row r="855" spans="1:13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9">
        <f t="shared" ca="1" si="13"/>
        <v>28</v>
      </c>
    </row>
    <row r="856" spans="1:13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9">
        <f t="shared" ca="1" si="13"/>
        <v>30</v>
      </c>
    </row>
    <row r="857" spans="1:13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9">
        <f t="shared" ca="1" si="13"/>
        <v>30</v>
      </c>
    </row>
    <row r="858" spans="1:13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9">
        <f t="shared" ca="1" si="13"/>
        <v>30</v>
      </c>
    </row>
    <row r="859" spans="1:13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9">
        <f t="shared" ca="1" si="13"/>
        <v>30</v>
      </c>
    </row>
    <row r="860" spans="1:13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9">
        <f t="shared" ca="1" si="13"/>
        <v>30</v>
      </c>
    </row>
    <row r="861" spans="1:13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9">
        <f t="shared" ca="1" si="13"/>
        <v>30</v>
      </c>
    </row>
    <row r="862" spans="1:13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9">
        <f t="shared" ca="1" si="13"/>
        <v>29</v>
      </c>
    </row>
    <row r="863" spans="1:13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9">
        <f t="shared" ca="1" si="13"/>
        <v>30</v>
      </c>
    </row>
    <row r="864" spans="1:13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9">
        <f t="shared" ca="1" si="13"/>
        <v>29</v>
      </c>
    </row>
    <row r="865" spans="1:13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9">
        <f t="shared" ca="1" si="13"/>
        <v>30</v>
      </c>
    </row>
    <row r="866" spans="1:13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9">
        <f t="shared" ca="1" si="13"/>
        <v>29</v>
      </c>
    </row>
    <row r="867" spans="1:13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9">
        <f t="shared" ca="1" si="13"/>
        <v>30</v>
      </c>
    </row>
    <row r="868" spans="1:13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9">
        <f t="shared" ca="1" si="13"/>
        <v>30</v>
      </c>
    </row>
    <row r="869" spans="1:13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9">
        <f t="shared" ca="1" si="13"/>
        <v>29</v>
      </c>
    </row>
    <row r="870" spans="1:13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9">
        <f t="shared" ca="1" si="13"/>
        <v>29</v>
      </c>
    </row>
    <row r="871" spans="1:13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9">
        <f t="shared" ca="1" si="13"/>
        <v>30</v>
      </c>
    </row>
    <row r="872" spans="1:13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9">
        <f t="shared" ca="1" si="13"/>
        <v>29</v>
      </c>
    </row>
    <row r="873" spans="1:13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9">
        <f t="shared" ca="1" si="13"/>
        <v>28</v>
      </c>
    </row>
    <row r="874" spans="1:13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9">
        <f t="shared" ca="1" si="13"/>
        <v>30</v>
      </c>
    </row>
    <row r="875" spans="1:13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9">
        <f t="shared" ca="1" si="13"/>
        <v>30</v>
      </c>
    </row>
    <row r="876" spans="1:13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9">
        <f t="shared" ca="1" si="13"/>
        <v>29</v>
      </c>
    </row>
    <row r="877" spans="1:13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9">
        <f t="shared" ca="1" si="13"/>
        <v>29</v>
      </c>
    </row>
    <row r="878" spans="1:13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9">
        <f t="shared" ca="1" si="13"/>
        <v>30</v>
      </c>
    </row>
    <row r="879" spans="1:13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9">
        <f t="shared" ca="1" si="13"/>
        <v>29</v>
      </c>
    </row>
    <row r="880" spans="1:13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9">
        <f t="shared" ca="1" si="13"/>
        <v>29</v>
      </c>
    </row>
    <row r="881" spans="1:13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9">
        <f t="shared" ca="1" si="13"/>
        <v>30</v>
      </c>
    </row>
    <row r="882" spans="1:13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9">
        <f t="shared" ca="1" si="13"/>
        <v>29</v>
      </c>
    </row>
    <row r="883" spans="1:13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9">
        <f t="shared" ca="1" si="13"/>
        <v>30</v>
      </c>
    </row>
    <row r="884" spans="1:13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9">
        <f t="shared" ca="1" si="13"/>
        <v>29</v>
      </c>
    </row>
    <row r="885" spans="1:13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9">
        <f t="shared" ca="1" si="13"/>
        <v>30</v>
      </c>
    </row>
    <row r="886" spans="1:13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9">
        <f t="shared" ca="1" si="13"/>
        <v>30</v>
      </c>
    </row>
    <row r="887" spans="1:13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9">
        <f t="shared" ca="1" si="13"/>
        <v>29</v>
      </c>
    </row>
    <row r="888" spans="1:13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9">
        <f t="shared" ca="1" si="13"/>
        <v>29</v>
      </c>
    </row>
    <row r="889" spans="1:13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9">
        <f t="shared" ca="1" si="13"/>
        <v>30</v>
      </c>
    </row>
    <row r="890" spans="1:13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9">
        <f t="shared" ca="1" si="13"/>
        <v>22</v>
      </c>
    </row>
    <row r="891" spans="1:13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9">
        <f t="shared" ca="1" si="13"/>
        <v>29</v>
      </c>
    </row>
    <row r="892" spans="1:13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9">
        <f t="shared" ca="1" si="13"/>
        <v>29</v>
      </c>
    </row>
    <row r="893" spans="1:13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9">
        <f t="shared" ca="1" si="13"/>
        <v>27</v>
      </c>
    </row>
    <row r="894" spans="1:13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9">
        <f t="shared" ca="1" si="13"/>
        <v>29</v>
      </c>
    </row>
    <row r="895" spans="1:13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9">
        <f t="shared" ca="1" si="13"/>
        <v>30</v>
      </c>
    </row>
    <row r="896" spans="1:13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9">
        <f t="shared" ca="1" si="13"/>
        <v>29</v>
      </c>
    </row>
    <row r="897" spans="1:13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9">
        <f t="shared" ca="1" si="13"/>
        <v>29</v>
      </c>
    </row>
    <row r="898" spans="1:13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9">
        <f t="shared" ca="1" si="13"/>
        <v>30</v>
      </c>
    </row>
    <row r="899" spans="1:13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9">
        <f t="shared" ref="M899:M962" ca="1" si="14">DATEDIF(L899,TODAY(),"Y")</f>
        <v>30</v>
      </c>
    </row>
    <row r="900" spans="1:13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9">
        <f t="shared" ca="1" si="14"/>
        <v>30</v>
      </c>
    </row>
    <row r="901" spans="1:13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9">
        <f t="shared" ca="1" si="14"/>
        <v>30</v>
      </c>
    </row>
    <row r="902" spans="1:13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9">
        <f t="shared" ca="1" si="14"/>
        <v>30</v>
      </c>
    </row>
    <row r="903" spans="1:13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9">
        <f t="shared" ca="1" si="14"/>
        <v>28</v>
      </c>
    </row>
    <row r="904" spans="1:13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9">
        <f t="shared" ca="1" si="14"/>
        <v>30</v>
      </c>
    </row>
    <row r="905" spans="1:13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9">
        <f t="shared" ca="1" si="14"/>
        <v>29</v>
      </c>
    </row>
    <row r="906" spans="1:13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9">
        <f t="shared" ca="1" si="14"/>
        <v>29</v>
      </c>
    </row>
    <row r="907" spans="1:13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9">
        <f t="shared" ca="1" si="14"/>
        <v>29</v>
      </c>
    </row>
    <row r="908" spans="1:13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9">
        <f t="shared" ca="1" si="14"/>
        <v>29</v>
      </c>
    </row>
    <row r="909" spans="1:13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9">
        <f t="shared" ca="1" si="14"/>
        <v>30</v>
      </c>
    </row>
    <row r="910" spans="1:13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9">
        <f t="shared" ca="1" si="14"/>
        <v>29</v>
      </c>
    </row>
    <row r="911" spans="1:13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9">
        <f t="shared" ca="1" si="14"/>
        <v>29</v>
      </c>
    </row>
    <row r="912" spans="1:13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9">
        <f t="shared" ca="1" si="14"/>
        <v>28</v>
      </c>
    </row>
    <row r="913" spans="1:13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9">
        <f t="shared" ca="1" si="14"/>
        <v>29</v>
      </c>
    </row>
    <row r="914" spans="1:13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9">
        <f t="shared" ca="1" si="14"/>
        <v>30</v>
      </c>
    </row>
    <row r="915" spans="1:13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9">
        <f t="shared" ca="1" si="14"/>
        <v>30</v>
      </c>
    </row>
    <row r="916" spans="1:13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9">
        <f t="shared" ca="1" si="14"/>
        <v>30</v>
      </c>
    </row>
    <row r="917" spans="1:13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9">
        <f t="shared" ca="1" si="14"/>
        <v>30</v>
      </c>
    </row>
    <row r="918" spans="1:13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9">
        <f t="shared" ca="1" si="14"/>
        <v>30</v>
      </c>
    </row>
    <row r="919" spans="1:13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9">
        <f t="shared" ca="1" si="14"/>
        <v>30</v>
      </c>
    </row>
    <row r="920" spans="1:13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9">
        <f t="shared" ca="1" si="14"/>
        <v>30</v>
      </c>
    </row>
    <row r="921" spans="1:13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9">
        <f t="shared" ca="1" si="14"/>
        <v>30</v>
      </c>
    </row>
    <row r="922" spans="1:13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9">
        <f t="shared" ca="1" si="14"/>
        <v>29</v>
      </c>
    </row>
    <row r="923" spans="1:13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9">
        <f t="shared" ca="1" si="14"/>
        <v>30</v>
      </c>
    </row>
    <row r="924" spans="1:13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9">
        <f t="shared" ca="1" si="14"/>
        <v>29</v>
      </c>
    </row>
    <row r="925" spans="1:13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9">
        <f t="shared" ca="1" si="14"/>
        <v>30</v>
      </c>
    </row>
    <row r="926" spans="1:13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9">
        <f t="shared" ca="1" si="14"/>
        <v>29</v>
      </c>
    </row>
    <row r="927" spans="1:13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9">
        <f t="shared" ca="1" si="14"/>
        <v>29</v>
      </c>
    </row>
    <row r="928" spans="1:13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9">
        <f t="shared" ca="1" si="14"/>
        <v>27</v>
      </c>
    </row>
    <row r="929" spans="1:13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9">
        <f t="shared" ca="1" si="14"/>
        <v>29</v>
      </c>
    </row>
    <row r="930" spans="1:13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9">
        <f t="shared" ca="1" si="14"/>
        <v>28</v>
      </c>
    </row>
    <row r="931" spans="1:13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9">
        <f t="shared" ca="1" si="14"/>
        <v>30</v>
      </c>
    </row>
    <row r="932" spans="1:13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9">
        <f t="shared" ca="1" si="14"/>
        <v>30</v>
      </c>
    </row>
    <row r="933" spans="1:13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9">
        <f t="shared" ca="1" si="14"/>
        <v>30</v>
      </c>
    </row>
    <row r="934" spans="1:13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9">
        <f t="shared" ca="1" si="14"/>
        <v>29</v>
      </c>
    </row>
    <row r="935" spans="1:13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9">
        <f t="shared" ca="1" si="14"/>
        <v>30</v>
      </c>
    </row>
    <row r="936" spans="1:13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9">
        <f t="shared" ca="1" si="14"/>
        <v>29</v>
      </c>
    </row>
    <row r="937" spans="1:13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9">
        <f t="shared" ca="1" si="14"/>
        <v>30</v>
      </c>
    </row>
    <row r="938" spans="1:13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9">
        <f t="shared" ca="1" si="14"/>
        <v>30</v>
      </c>
    </row>
    <row r="939" spans="1:13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9">
        <f t="shared" ca="1" si="14"/>
        <v>30</v>
      </c>
    </row>
    <row r="940" spans="1:13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9">
        <f t="shared" ca="1" si="14"/>
        <v>30</v>
      </c>
    </row>
    <row r="941" spans="1:13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9">
        <f t="shared" ca="1" si="14"/>
        <v>30</v>
      </c>
    </row>
    <row r="942" spans="1:13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9">
        <f t="shared" ca="1" si="14"/>
        <v>30</v>
      </c>
    </row>
    <row r="943" spans="1:13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9">
        <f t="shared" ca="1" si="14"/>
        <v>30</v>
      </c>
    </row>
    <row r="944" spans="1:13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9">
        <f t="shared" ca="1" si="14"/>
        <v>30</v>
      </c>
    </row>
    <row r="945" spans="1:13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9">
        <f t="shared" ca="1" si="14"/>
        <v>29</v>
      </c>
    </row>
    <row r="946" spans="1:13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9">
        <f t="shared" ca="1" si="14"/>
        <v>27</v>
      </c>
    </row>
    <row r="947" spans="1:13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9">
        <f t="shared" ca="1" si="14"/>
        <v>29</v>
      </c>
    </row>
    <row r="948" spans="1:13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9">
        <f t="shared" ca="1" si="14"/>
        <v>29</v>
      </c>
    </row>
    <row r="949" spans="1:13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9">
        <f t="shared" ca="1" si="14"/>
        <v>30</v>
      </c>
    </row>
    <row r="950" spans="1:13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9">
        <f t="shared" ca="1" si="14"/>
        <v>29</v>
      </c>
    </row>
    <row r="951" spans="1:13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9">
        <f t="shared" ca="1" si="14"/>
        <v>28</v>
      </c>
    </row>
    <row r="952" spans="1:13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9">
        <f t="shared" ca="1" si="14"/>
        <v>29</v>
      </c>
    </row>
    <row r="953" spans="1:13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9">
        <f t="shared" ca="1" si="14"/>
        <v>30</v>
      </c>
    </row>
    <row r="954" spans="1:13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9">
        <f t="shared" ca="1" si="14"/>
        <v>29</v>
      </c>
    </row>
    <row r="955" spans="1:13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9">
        <f t="shared" ca="1" si="14"/>
        <v>29</v>
      </c>
    </row>
    <row r="956" spans="1:13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9">
        <f t="shared" ca="1" si="14"/>
        <v>29</v>
      </c>
    </row>
    <row r="957" spans="1:13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9">
        <f t="shared" ca="1" si="14"/>
        <v>30</v>
      </c>
    </row>
    <row r="958" spans="1:13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9">
        <f t="shared" ca="1" si="14"/>
        <v>29</v>
      </c>
    </row>
    <row r="959" spans="1:13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9">
        <f t="shared" ca="1" si="14"/>
        <v>30</v>
      </c>
    </row>
    <row r="960" spans="1:13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9">
        <f t="shared" ca="1" si="14"/>
        <v>30</v>
      </c>
    </row>
    <row r="961" spans="1:13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9">
        <f t="shared" ca="1" si="14"/>
        <v>30</v>
      </c>
    </row>
    <row r="962" spans="1:13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9">
        <f t="shared" ca="1" si="14"/>
        <v>30</v>
      </c>
    </row>
    <row r="963" spans="1:13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9">
        <f t="shared" ref="M963:M1026" ca="1" si="15">DATEDIF(L963,TODAY(),"Y")</f>
        <v>30</v>
      </c>
    </row>
    <row r="964" spans="1:13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9">
        <f t="shared" ca="1" si="15"/>
        <v>29</v>
      </c>
    </row>
    <row r="965" spans="1:13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9">
        <f t="shared" ca="1" si="15"/>
        <v>29</v>
      </c>
    </row>
    <row r="966" spans="1:13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9">
        <f t="shared" ca="1" si="15"/>
        <v>30</v>
      </c>
    </row>
    <row r="967" spans="1:13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9">
        <f t="shared" ca="1" si="15"/>
        <v>30</v>
      </c>
    </row>
    <row r="968" spans="1:13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9">
        <f t="shared" ca="1" si="15"/>
        <v>30</v>
      </c>
    </row>
    <row r="969" spans="1:13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9">
        <f t="shared" ca="1" si="15"/>
        <v>29</v>
      </c>
    </row>
    <row r="970" spans="1:13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9">
        <f t="shared" ca="1" si="15"/>
        <v>30</v>
      </c>
    </row>
    <row r="971" spans="1:13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9">
        <f t="shared" ca="1" si="15"/>
        <v>30</v>
      </c>
    </row>
    <row r="972" spans="1:13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9">
        <f t="shared" ca="1" si="15"/>
        <v>28</v>
      </c>
    </row>
    <row r="973" spans="1:13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9">
        <f t="shared" ca="1" si="15"/>
        <v>29</v>
      </c>
    </row>
    <row r="974" spans="1:13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9">
        <f t="shared" ca="1" si="15"/>
        <v>29</v>
      </c>
    </row>
    <row r="975" spans="1:13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9">
        <f t="shared" ca="1" si="15"/>
        <v>30</v>
      </c>
    </row>
    <row r="976" spans="1:13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9">
        <f t="shared" ca="1" si="15"/>
        <v>30</v>
      </c>
    </row>
    <row r="977" spans="1:13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9">
        <f t="shared" ca="1" si="15"/>
        <v>29</v>
      </c>
    </row>
    <row r="978" spans="1:13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9">
        <f t="shared" ca="1" si="15"/>
        <v>30</v>
      </c>
    </row>
    <row r="979" spans="1:13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9">
        <f t="shared" ca="1" si="15"/>
        <v>28</v>
      </c>
    </row>
    <row r="980" spans="1:13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9">
        <f t="shared" ca="1" si="15"/>
        <v>29</v>
      </c>
    </row>
    <row r="981" spans="1:13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9">
        <f t="shared" ca="1" si="15"/>
        <v>29</v>
      </c>
    </row>
    <row r="982" spans="1:13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9">
        <f t="shared" ca="1" si="15"/>
        <v>29</v>
      </c>
    </row>
    <row r="983" spans="1:13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9">
        <f t="shared" ca="1" si="15"/>
        <v>29</v>
      </c>
    </row>
    <row r="984" spans="1:13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9">
        <f t="shared" ca="1" si="15"/>
        <v>30</v>
      </c>
    </row>
    <row r="985" spans="1:13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9">
        <f t="shared" ca="1" si="15"/>
        <v>29</v>
      </c>
    </row>
    <row r="986" spans="1:13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9">
        <f t="shared" ca="1" si="15"/>
        <v>30</v>
      </c>
    </row>
    <row r="987" spans="1:13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9">
        <f t="shared" ca="1" si="15"/>
        <v>29</v>
      </c>
    </row>
    <row r="988" spans="1:13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9">
        <f t="shared" ca="1" si="15"/>
        <v>28</v>
      </c>
    </row>
    <row r="989" spans="1:13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9">
        <f t="shared" ca="1" si="15"/>
        <v>30</v>
      </c>
    </row>
    <row r="990" spans="1:13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9">
        <f t="shared" ca="1" si="15"/>
        <v>30</v>
      </c>
    </row>
    <row r="991" spans="1:13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9">
        <f t="shared" ca="1" si="15"/>
        <v>29</v>
      </c>
    </row>
    <row r="992" spans="1:13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9">
        <f t="shared" ca="1" si="15"/>
        <v>30</v>
      </c>
    </row>
    <row r="993" spans="1:13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9">
        <f t="shared" ca="1" si="15"/>
        <v>29</v>
      </c>
    </row>
    <row r="994" spans="1:13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9">
        <f t="shared" ca="1" si="15"/>
        <v>29</v>
      </c>
    </row>
    <row r="995" spans="1:13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9">
        <f t="shared" ca="1" si="15"/>
        <v>29</v>
      </c>
    </row>
    <row r="996" spans="1:13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9">
        <f t="shared" ca="1" si="15"/>
        <v>30</v>
      </c>
    </row>
    <row r="997" spans="1:13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9">
        <f t="shared" ca="1" si="15"/>
        <v>29</v>
      </c>
    </row>
    <row r="998" spans="1:13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9">
        <f t="shared" ca="1" si="15"/>
        <v>29</v>
      </c>
    </row>
    <row r="999" spans="1:13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9">
        <f t="shared" ca="1" si="15"/>
        <v>30</v>
      </c>
    </row>
    <row r="1000" spans="1:13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9">
        <f t="shared" ca="1" si="15"/>
        <v>29</v>
      </c>
    </row>
    <row r="1001" spans="1:13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9">
        <f t="shared" ca="1" si="15"/>
        <v>29</v>
      </c>
    </row>
    <row r="1002" spans="1:13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9">
        <f t="shared" ca="1" si="15"/>
        <v>29</v>
      </c>
    </row>
    <row r="1003" spans="1:13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9">
        <f t="shared" ca="1" si="15"/>
        <v>30</v>
      </c>
    </row>
    <row r="1004" spans="1:13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9">
        <f t="shared" ca="1" si="15"/>
        <v>29</v>
      </c>
    </row>
    <row r="1005" spans="1:13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9">
        <f t="shared" ca="1" si="15"/>
        <v>29</v>
      </c>
    </row>
    <row r="1006" spans="1:13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9">
        <f t="shared" ca="1" si="15"/>
        <v>29</v>
      </c>
    </row>
    <row r="1007" spans="1:13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9">
        <f t="shared" ca="1" si="15"/>
        <v>28</v>
      </c>
    </row>
    <row r="1008" spans="1:13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9">
        <f t="shared" ca="1" si="15"/>
        <v>30</v>
      </c>
    </row>
    <row r="1009" spans="1:13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9">
        <f t="shared" ca="1" si="15"/>
        <v>29</v>
      </c>
    </row>
    <row r="1010" spans="1:13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9">
        <f t="shared" ca="1" si="15"/>
        <v>27</v>
      </c>
    </row>
    <row r="1011" spans="1:13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9">
        <f t="shared" ca="1" si="15"/>
        <v>29</v>
      </c>
    </row>
    <row r="1012" spans="1:13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9">
        <f t="shared" ca="1" si="15"/>
        <v>30</v>
      </c>
    </row>
    <row r="1013" spans="1:13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9">
        <f t="shared" ca="1" si="15"/>
        <v>29</v>
      </c>
    </row>
    <row r="1014" spans="1:13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9">
        <f t="shared" ca="1" si="15"/>
        <v>29</v>
      </c>
    </row>
    <row r="1015" spans="1:13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9">
        <f t="shared" ca="1" si="15"/>
        <v>29</v>
      </c>
    </row>
    <row r="1016" spans="1:13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9">
        <f t="shared" ca="1" si="15"/>
        <v>29</v>
      </c>
    </row>
    <row r="1017" spans="1:13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9">
        <f t="shared" ca="1" si="15"/>
        <v>30</v>
      </c>
    </row>
    <row r="1018" spans="1:13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9">
        <f t="shared" ca="1" si="15"/>
        <v>29</v>
      </c>
    </row>
    <row r="1019" spans="1:13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9">
        <f t="shared" ca="1" si="15"/>
        <v>30</v>
      </c>
    </row>
    <row r="1020" spans="1:13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9">
        <f t="shared" ca="1" si="15"/>
        <v>29</v>
      </c>
    </row>
    <row r="1021" spans="1:13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9">
        <f t="shared" ca="1" si="15"/>
        <v>28</v>
      </c>
    </row>
    <row r="1022" spans="1:13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9">
        <f t="shared" ca="1" si="15"/>
        <v>27</v>
      </c>
    </row>
    <row r="1023" spans="1:13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9">
        <f t="shared" ca="1" si="15"/>
        <v>28</v>
      </c>
    </row>
    <row r="1024" spans="1:13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9">
        <f t="shared" ca="1" si="15"/>
        <v>29</v>
      </c>
    </row>
    <row r="1025" spans="1:13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9">
        <f t="shared" ca="1" si="15"/>
        <v>29</v>
      </c>
    </row>
    <row r="1026" spans="1:13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9">
        <f t="shared" ca="1" si="15"/>
        <v>28</v>
      </c>
    </row>
    <row r="1027" spans="1:13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9">
        <f t="shared" ref="M1027:M1072" ca="1" si="16">DATEDIF(L1027,TODAY(),"Y")</f>
        <v>30</v>
      </c>
    </row>
    <row r="1028" spans="1:13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9">
        <f t="shared" ca="1" si="16"/>
        <v>28</v>
      </c>
    </row>
    <row r="1029" spans="1:13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9">
        <f t="shared" ca="1" si="16"/>
        <v>29</v>
      </c>
    </row>
    <row r="1030" spans="1:13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9">
        <f t="shared" ca="1" si="16"/>
        <v>30</v>
      </c>
    </row>
    <row r="1031" spans="1:13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9">
        <f t="shared" ca="1" si="16"/>
        <v>30</v>
      </c>
    </row>
    <row r="1032" spans="1:13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9">
        <f t="shared" ca="1" si="16"/>
        <v>30</v>
      </c>
    </row>
    <row r="1033" spans="1:13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9">
        <f t="shared" ca="1" si="16"/>
        <v>30</v>
      </c>
    </row>
    <row r="1034" spans="1:13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9">
        <f t="shared" ca="1" si="16"/>
        <v>29</v>
      </c>
    </row>
    <row r="1035" spans="1:13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9">
        <f t="shared" ca="1" si="16"/>
        <v>29</v>
      </c>
    </row>
    <row r="1036" spans="1:13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9">
        <f t="shared" ca="1" si="16"/>
        <v>29</v>
      </c>
    </row>
    <row r="1037" spans="1:13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9">
        <f t="shared" ca="1" si="16"/>
        <v>30</v>
      </c>
    </row>
    <row r="1038" spans="1:13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9">
        <f t="shared" ca="1" si="16"/>
        <v>30</v>
      </c>
    </row>
    <row r="1039" spans="1:13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9">
        <f t="shared" ca="1" si="16"/>
        <v>29</v>
      </c>
    </row>
    <row r="1040" spans="1:13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9">
        <f t="shared" ca="1" si="16"/>
        <v>29</v>
      </c>
    </row>
    <row r="1041" spans="1:13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9">
        <f t="shared" ca="1" si="16"/>
        <v>29</v>
      </c>
    </row>
    <row r="1042" spans="1:13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9">
        <f t="shared" ca="1" si="16"/>
        <v>29</v>
      </c>
    </row>
    <row r="1043" spans="1:13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9">
        <f t="shared" ca="1" si="16"/>
        <v>30</v>
      </c>
    </row>
    <row r="1044" spans="1:13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9">
        <f t="shared" ca="1" si="16"/>
        <v>29</v>
      </c>
    </row>
    <row r="1045" spans="1:13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9">
        <f t="shared" ca="1" si="16"/>
        <v>29</v>
      </c>
    </row>
    <row r="1046" spans="1:13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9">
        <f t="shared" ca="1" si="16"/>
        <v>29</v>
      </c>
    </row>
    <row r="1047" spans="1:13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9">
        <f t="shared" ca="1" si="16"/>
        <v>30</v>
      </c>
    </row>
    <row r="1048" spans="1:13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9">
        <f t="shared" ca="1" si="16"/>
        <v>26</v>
      </c>
    </row>
    <row r="1049" spans="1:13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9">
        <f t="shared" ca="1" si="16"/>
        <v>29</v>
      </c>
    </row>
    <row r="1050" spans="1:13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9">
        <f t="shared" ca="1" si="16"/>
        <v>30</v>
      </c>
    </row>
    <row r="1051" spans="1:13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9">
        <f t="shared" ca="1" si="16"/>
        <v>30</v>
      </c>
    </row>
    <row r="1052" spans="1:13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9">
        <f t="shared" ca="1" si="16"/>
        <v>30</v>
      </c>
    </row>
    <row r="1053" spans="1:13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9">
        <f t="shared" ca="1" si="16"/>
        <v>30</v>
      </c>
    </row>
    <row r="1054" spans="1:13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9">
        <f t="shared" ca="1" si="16"/>
        <v>29</v>
      </c>
    </row>
    <row r="1055" spans="1:13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9">
        <f t="shared" ca="1" si="16"/>
        <v>29</v>
      </c>
    </row>
    <row r="1056" spans="1:13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9">
        <f t="shared" ca="1" si="16"/>
        <v>30</v>
      </c>
    </row>
    <row r="1057" spans="1:13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9">
        <f t="shared" ca="1" si="16"/>
        <v>29</v>
      </c>
    </row>
    <row r="1058" spans="1:13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9">
        <f t="shared" ca="1" si="16"/>
        <v>30</v>
      </c>
    </row>
    <row r="1059" spans="1:13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9">
        <f t="shared" ca="1" si="16"/>
        <v>30</v>
      </c>
    </row>
    <row r="1060" spans="1:13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9">
        <f t="shared" ca="1" si="16"/>
        <v>28</v>
      </c>
    </row>
    <row r="1061" spans="1:13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9">
        <f t="shared" ca="1" si="16"/>
        <v>28</v>
      </c>
    </row>
    <row r="1062" spans="1:13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9">
        <f t="shared" ca="1" si="16"/>
        <v>29</v>
      </c>
    </row>
    <row r="1063" spans="1:13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9">
        <f t="shared" ca="1" si="16"/>
        <v>29</v>
      </c>
    </row>
    <row r="1064" spans="1:13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9">
        <f t="shared" ca="1" si="16"/>
        <v>29</v>
      </c>
    </row>
    <row r="1065" spans="1:13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9">
        <f t="shared" ca="1" si="16"/>
        <v>30</v>
      </c>
    </row>
    <row r="1066" spans="1:13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9">
        <f t="shared" ca="1" si="16"/>
        <v>30</v>
      </c>
    </row>
    <row r="1067" spans="1:13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9">
        <f t="shared" ca="1" si="16"/>
        <v>30</v>
      </c>
    </row>
    <row r="1068" spans="1:13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9">
        <f t="shared" ca="1" si="16"/>
        <v>29</v>
      </c>
    </row>
    <row r="1069" spans="1:13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9">
        <f t="shared" ca="1" si="16"/>
        <v>30</v>
      </c>
    </row>
    <row r="1070" spans="1:13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9">
        <f t="shared" ca="1" si="16"/>
        <v>29</v>
      </c>
    </row>
    <row r="1071" spans="1:13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9">
        <f t="shared" ca="1" si="16"/>
        <v>29</v>
      </c>
    </row>
    <row r="1072" spans="1:13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9">
        <f t="shared" ca="1" si="16"/>
        <v>29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/>
  </sheetViews>
  <sheetFormatPr defaultColWidth="8.90625" defaultRowHeight="14.5" x14ac:dyDescent="0.35"/>
  <cols>
    <col min="1" max="1" width="9.453125" style="3" bestFit="1" customWidth="1"/>
    <col min="2" max="2" width="8.6328125" style="3" bestFit="1" customWidth="1"/>
    <col min="3" max="3" width="12.26953125" style="3" bestFit="1" customWidth="1"/>
    <col min="4" max="4" width="10.36328125" style="3" bestFit="1" customWidth="1"/>
    <col min="5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Exercise 1</vt:lpstr>
      <vt:lpstr>Exercise 2</vt:lpstr>
      <vt:lpstr>Exercise 3</vt:lpstr>
      <vt:lpstr>Exercise 4</vt:lpstr>
      <vt:lpstr>Exercise 5</vt:lpstr>
      <vt:lpstr>Assurance data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Mariona Floris Martin</cp:lastModifiedBy>
  <dcterms:created xsi:type="dcterms:W3CDTF">2015-06-05T18:17:20Z</dcterms:created>
  <dcterms:modified xsi:type="dcterms:W3CDTF">2026-09-10T14:07:29Z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