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people.ey.com/personal/mariona_floris_martin_es_ey_com/Documents/Desktop/Ironhack/15.09/"/>
    </mc:Choice>
  </mc:AlternateContent>
  <xr:revisionPtr revIDLastSave="110" documentId="8_{2251C900-3E11-492E-8266-B25CB415FCEE}" xr6:coauthVersionLast="47" xr6:coauthVersionMax="47" xr10:uidLastSave="{B65A0B48-9727-440F-B727-08840D1337EA}"/>
  <bookViews>
    <workbookView xWindow="-110" yWindow="-110" windowWidth="19420" windowHeight="11500" tabRatio="889" activeTab="6"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TreeMap!$B$1</definedName>
    <definedName name="_xlchart.v1.2"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calcCompleted="0"/>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<sst xmlns="http://schemas.openxmlformats.org/spreadsheetml/2006/main" count="2156" uniqueCount="139">
  <si>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</si>
  <si>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</si>
  <si>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</si>
  <si>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</si>
  <si>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</si>
  <si>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</si>
  <si>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</si>
  <si>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</si>
  <si>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</si>
  <si>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</si>
  <si>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</si>
  <si>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</si>
  <si>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</si>
  <si>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</si>
  <si>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</si>
  <si>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</si>
  <si>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</si>
  <si>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</si>
  <si>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</si>
  <si>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</si>
  <si>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</si>
  <si>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</si>
  <si>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</si>
  <si>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</si>
  <si>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</si>
  <si>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</si>
  <si>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</si>
  <si>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</si>
  <si>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</si>
  <si>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</si>
  <si>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</si>
  <si>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</si>
  <si>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</si>
  <si>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</si>
  <si>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</si>
  <si>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</si>
  <si>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</si>
  <si>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</si>
  <si>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</si>
  <si>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</si>
  <si>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</si>
  <si>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</si>
  <si>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</si>
  <si>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</si>
  <si>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</si>
  <si>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</si>
  <si>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</si>
  <si>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</si>
  <si>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</si>
  <si>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</si>
  <si>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</si>
  <si>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</si>
  <si>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</si>
  <si>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</si>
  <si>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</si>
  <si>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</si>
  <si>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</si>
  <si>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</si>
  <si>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</si>
  <si>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</si>
  <si>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</si>
  <si>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</si>
  <si>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</si>
  <si>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</si>
  <si>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</si>
  <si>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</si>
  <si>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</si>
  <si>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</si>
  <si>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</si>
  <si>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</si>
  <si>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</si>
  <si>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</si>
  <si>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</si>
  <si>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</si>
  <si>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</si>
  <si>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</si>
  <si>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</si>
  <si>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</si>
  <si>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</si>
  <si>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</si>
  <si>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</si>
  <si>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</si>
  <si>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</si>
  <si>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</si>
  <si>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</si>
  <si>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</si>
  <si>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</si>
  <si>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</si>
  <si>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</si>
  <si>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</si>
  <si>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</si>
  <si>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</si>
  <si>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</si>
  <si>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</si>
  <si>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</si>
  <si>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</si>
  <si>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</si>
  <si>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</si>
  <si>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</si>
  <si>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</si>
  <si>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</si>
  <si>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</si>
  <si>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</si>
  <si>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</si>
  <si>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</si>
  <si>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</si>
  <si>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</si>
  <si>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</si>
  <si>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</si>
  <si>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</si>
  <si>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</si>
  <si>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</si>
  <si>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</si>
  <si>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</si>
  <si>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</si>
  <si>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</si>
  <si>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</si>
  <si>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</si>
  <si>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</si>
  <si>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</si>
  <si>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</si>
  <si>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</si>
  <si>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</si>
  <si>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</si>
  <si>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</si>
  <si>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</si>
  <si>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</si>
  <si>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</si>
  <si>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</si>
  <si>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</si>
  <si>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</si>
  <si>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</si>
  <si>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</si>
  <si>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</si>
  <si>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</si>
  <si>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</si>
  <si>
    <t>(No fer aquesta part)</t>
  </si>
  <si>
    <t>ANSWER:</t>
  </si>
  <si>
    <t>A Clustered Bar Chart presents categories as separate bars positioned side by side, allowing for direct comparison across series. A Stacked Bar Chart, in contrast, layers values within a single bar to illustrate how each component contributes to the total. These charts serve different purposes, use clustered charts for category comparison and stacked charts for compositional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</si>
</sst>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
      <b/>
      <sz val="1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51">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9">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1" fontId="0" fillId="0" borderId="35" xfId="0" applyNumberFormat="1" applyBorder="1" applyAlignment="1">
      <alignment horizontal="center"/>
    </xf>
    <xf numFmtId="1" fontId="3" fillId="2" borderId="12" xfId="0" applyNumberFormat="1" applyFont="1" applyFill="1" applyBorder="1" applyAlignment="1">
      <alignment horizontal="center"/>
    </xf>
    <xf numFmtId="1" fontId="0" fillId="0" borderId="10" xfId="0" applyNumberFormat="1" applyBorder="1" applyAlignment="1">
      <alignment horizontal="center"/>
    </xf>
    <xf numFmtId="1" fontId="3" fillId="2" borderId="48" xfId="0" applyNumberFormat="1" applyFont="1" applyFill="1" applyBorder="1" applyAlignment="1">
      <alignment horizontal="center"/>
    </xf>
    <xf numFmtId="1" fontId="0" fillId="0" borderId="49" xfId="0" applyNumberFormat="1" applyBorder="1" applyAlignment="1">
      <alignment horizontal="center"/>
    </xf>
    <xf numFmtId="1" fontId="0" fillId="0" borderId="50" xfId="0" applyNumberFormat="1" applyBorder="1" applyAlignment="1">
      <alignment horizontal="center"/>
    </xf>
    <xf numFmtId="0" fontId="17" fillId="4" borderId="45" xfId="0" applyFont="1" applyFill="1" applyBorder="1" applyAlignment="1">
      <alignment horizontal="center"/>
    </xf>
    <xf numFmtId="0" fontId="17" fillId="4" borderId="46" xfId="0" applyFont="1" applyFill="1" applyBorder="1" applyAlignment="1">
      <alignment horizontal="center"/>
    </xf>
    <xf numFmtId="0" fontId="17" fillId="4" borderId="47" xfId="0" applyFont="1" applyFill="1" applyBorder="1" applyAlignment="1">
      <alignment horizontal="center"/>
    </xf>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cellXfs>
  <cellStyles count="3">
    <cellStyle name="Comma" xfId="1" builtinId="3"/>
    <cellStyle name="Hyperlink" xfId="2" builtinId="8"/>
    <cellStyle name="Normal" xfId="0" builtinId="0"/>
  </cellStyles>
  <dxfs count="7">
    <dxf>
      <numFmt numFmtId="1"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indexed="64"/>
          <bgColor theme="4" tint="0.5999938962981048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Clustered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0</c:formatCode>
                <c:ptCount val="7"/>
                <c:pt idx="0">
                  <c:v>2013</c:v>
                </c:pt>
                <c:pt idx="1">
                  <c:v>2014</c:v>
                </c:pt>
                <c:pt idx="2">
                  <c:v>2015</c:v>
                </c:pt>
                <c:pt idx="3">
                  <c:v>2016</c:v>
                </c:pt>
                <c:pt idx="4">
                  <c:v>2017</c:v>
                </c:pt>
                <c:pt idx="5">
                  <c:v>2018</c:v>
                </c:pt>
                <c:pt idx="6">
                  <c:v>2019</c:v>
                </c:pt>
              </c:numCache>
            </c:numRef>
          </c:cat>
          <c:val>
            <c:numRef>
              <c:f>'bar charts'!$D$4:$D$10</c:f>
              <c:numCache>
                <c:formatCode>0</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1190-4BE2-A7FC-1F6419CAFB98}"/>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0</c:formatCode>
                <c:ptCount val="7"/>
                <c:pt idx="0">
                  <c:v>2013</c:v>
                </c:pt>
                <c:pt idx="1">
                  <c:v>2014</c:v>
                </c:pt>
                <c:pt idx="2">
                  <c:v>2015</c:v>
                </c:pt>
                <c:pt idx="3">
                  <c:v>2016</c:v>
                </c:pt>
                <c:pt idx="4">
                  <c:v>2017</c:v>
                </c:pt>
                <c:pt idx="5">
                  <c:v>2018</c:v>
                </c:pt>
                <c:pt idx="6">
                  <c:v>2019</c:v>
                </c:pt>
              </c:numCache>
            </c:numRef>
          </c:cat>
          <c:val>
            <c:numRef>
              <c:f>'bar charts'!$E$4:$E$10</c:f>
              <c:numCache>
                <c:formatCode>0</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1190-4BE2-A7FC-1F6419CAFB98}"/>
            </c:ext>
          </c:extLst>
        </c:ser>
        <c:dLbls>
          <c:showLegendKey val="0"/>
          <c:showVal val="0"/>
          <c:showCatName val="0"/>
          <c:showSerName val="0"/>
          <c:showPercent val="0"/>
          <c:showBubbleSize val="0"/>
        </c:dLbls>
        <c:gapWidth val="219"/>
        <c:overlap val="-27"/>
        <c:axId val="819025727"/>
        <c:axId val="1030147759"/>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0</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0</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1190-4BE2-A7FC-1F6419CAFB98}"/>
                  </c:ext>
                </c:extLst>
              </c15:ser>
            </c15:filteredBarSeries>
          </c:ext>
        </c:extLst>
      </c:barChart>
      <c:catAx>
        <c:axId val="819025727"/>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147759"/>
        <c:crosses val="autoZero"/>
        <c:auto val="1"/>
        <c:lblAlgn val="ctr"/>
        <c:lblOffset val="100"/>
        <c:noMultiLvlLbl val="0"/>
      </c:catAx>
      <c:valAx>
        <c:axId val="1030147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1902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Stacked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0</c:formatCode>
                <c:ptCount val="7"/>
                <c:pt idx="0">
                  <c:v>2013</c:v>
                </c:pt>
                <c:pt idx="1">
                  <c:v>2014</c:v>
                </c:pt>
                <c:pt idx="2">
                  <c:v>2015</c:v>
                </c:pt>
                <c:pt idx="3">
                  <c:v>2016</c:v>
                </c:pt>
                <c:pt idx="4">
                  <c:v>2017</c:v>
                </c:pt>
                <c:pt idx="5">
                  <c:v>2018</c:v>
                </c:pt>
                <c:pt idx="6">
                  <c:v>2019</c:v>
                </c:pt>
              </c:numCache>
            </c:numRef>
          </c:cat>
          <c:val>
            <c:numRef>
              <c:f>'bar charts'!$D$4:$D$10</c:f>
              <c:numCache>
                <c:formatCode>0</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0D5E-4848-9C87-5D48E926671C}"/>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0</c:formatCode>
                <c:ptCount val="7"/>
                <c:pt idx="0">
                  <c:v>2013</c:v>
                </c:pt>
                <c:pt idx="1">
                  <c:v>2014</c:v>
                </c:pt>
                <c:pt idx="2">
                  <c:v>2015</c:v>
                </c:pt>
                <c:pt idx="3">
                  <c:v>2016</c:v>
                </c:pt>
                <c:pt idx="4">
                  <c:v>2017</c:v>
                </c:pt>
                <c:pt idx="5">
                  <c:v>2018</c:v>
                </c:pt>
                <c:pt idx="6">
                  <c:v>2019</c:v>
                </c:pt>
              </c:numCache>
            </c:numRef>
          </c:cat>
          <c:val>
            <c:numRef>
              <c:f>'bar charts'!$E$4:$E$10</c:f>
              <c:numCache>
                <c:formatCode>0</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0D5E-4848-9C87-5D48E926671C}"/>
            </c:ext>
          </c:extLst>
        </c:ser>
        <c:dLbls>
          <c:showLegendKey val="0"/>
          <c:showVal val="0"/>
          <c:showCatName val="0"/>
          <c:showSerName val="0"/>
          <c:showPercent val="0"/>
          <c:showBubbleSize val="0"/>
        </c:dLbls>
        <c:gapWidth val="150"/>
        <c:overlap val="100"/>
        <c:axId val="905349919"/>
        <c:axId val="1030035439"/>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0</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0</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0D5E-4848-9C87-5D48E926671C}"/>
                  </c:ext>
                </c:extLst>
              </c15:ser>
            </c15:filteredBarSeries>
          </c:ext>
        </c:extLst>
      </c:barChart>
      <c:catAx>
        <c:axId val="905349919"/>
        <c:scaling>
          <c:orientation val="minMax"/>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35439"/>
        <c:crosses val="autoZero"/>
        <c:auto val="1"/>
        <c:lblAlgn val="ctr"/>
        <c:lblOffset val="100"/>
        <c:noMultiLvlLbl val="0"/>
      </c:catAx>
      <c:valAx>
        <c:axId val="10300354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05349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Handle Negative Bars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9997-4C93-8413-C9D9CEF8C461}"/>
              </c:ext>
            </c:extLst>
          </c:dPt>
          <c:dPt>
            <c:idx val="1"/>
            <c:invertIfNegative val="0"/>
            <c:bubble3D val="0"/>
            <c:spPr>
              <a:solidFill>
                <a:srgbClr val="FF0000"/>
              </a:solidFill>
              <a:ln>
                <a:noFill/>
              </a:ln>
              <a:effectLst/>
            </c:spPr>
            <c:extLst>
              <c:ext xmlns:c16="http://schemas.microsoft.com/office/drawing/2014/chart" uri="{C3380CC4-5D6E-409C-BE32-E72D297353CC}">
                <c16:uniqueId val="{00000003-9997-4C93-8413-C9D9CEF8C46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1-9997-4C93-8413-C9D9CEF8C461}"/>
              </c:ext>
            </c:extLst>
          </c:dPt>
          <c:dPt>
            <c:idx val="3"/>
            <c:invertIfNegative val="0"/>
            <c:bubble3D val="0"/>
            <c:spPr>
              <a:solidFill>
                <a:srgbClr val="FF0000"/>
              </a:solidFill>
              <a:ln>
                <a:noFill/>
              </a:ln>
              <a:effectLst/>
            </c:spPr>
            <c:extLst>
              <c:ext xmlns:c16="http://schemas.microsoft.com/office/drawing/2014/chart" uri="{C3380CC4-5D6E-409C-BE32-E72D297353CC}">
                <c16:uniqueId val="{00000004-9997-4C93-8413-C9D9CEF8C461}"/>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2-9997-4C93-8413-C9D9CEF8C461}"/>
              </c:ext>
            </c:extLst>
          </c:dPt>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1"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Revenue and</a:t>
            </a:r>
            <a:r>
              <a:rPr lang="es-ES" baseline="0"/>
              <a:t> Number of calls by Weekday</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'Secondary Axis'!$B$1</c:f>
              <c:strCache>
                <c:ptCount val="1"/>
                <c:pt idx="0">
                  <c:v>Revenue</c:v>
                </c:pt>
              </c:strCache>
            </c:strRef>
          </c:tx>
          <c:spPr>
            <a:solidFill>
              <a:schemeClr val="accent1"/>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extLst>
            <c:ext xmlns:c16="http://schemas.microsoft.com/office/drawing/2014/chart" uri="{C3380CC4-5D6E-409C-BE32-E72D297353CC}">
              <c16:uniqueId val="{00000000-598B-4317-9E06-C4E5FDA6C143}"/>
            </c:ext>
          </c:extLst>
        </c:ser>
        <c:dLbls>
          <c:showLegendKey val="0"/>
          <c:showVal val="0"/>
          <c:showCatName val="0"/>
          <c:showSerName val="0"/>
          <c:showPercent val="0"/>
          <c:showBubbleSize val="0"/>
        </c:dLbls>
        <c:gapWidth val="219"/>
        <c:overlap val="-27"/>
        <c:axId val="818986287"/>
        <c:axId val="1030032559"/>
      </c:barChart>
      <c:lineChart>
        <c:grouping val="standard"/>
        <c:varyColors val="0"/>
        <c:ser>
          <c:idx val="1"/>
          <c:order val="1"/>
          <c:tx>
            <c:strRef>
              <c:f>'Secondary Axis'!$C$1</c:f>
              <c:strCache>
                <c:ptCount val="1"/>
                <c:pt idx="0">
                  <c:v>No of calls</c:v>
                </c:pt>
              </c:strCache>
            </c:strRef>
          </c:tx>
          <c:spPr>
            <a:ln w="28575" cap="rnd">
              <a:solidFill>
                <a:schemeClr val="accent2"/>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smooth val="0"/>
          <c:extLst>
            <c:ext xmlns:c16="http://schemas.microsoft.com/office/drawing/2014/chart" uri="{C3380CC4-5D6E-409C-BE32-E72D297353CC}">
              <c16:uniqueId val="{00000001-598B-4317-9E06-C4E5FDA6C143}"/>
            </c:ext>
          </c:extLst>
        </c:ser>
        <c:dLbls>
          <c:showLegendKey val="0"/>
          <c:showVal val="0"/>
          <c:showCatName val="0"/>
          <c:showSerName val="0"/>
          <c:showPercent val="0"/>
          <c:showBubbleSize val="0"/>
        </c:dLbls>
        <c:marker val="1"/>
        <c:smooth val="0"/>
        <c:axId val="273916080"/>
        <c:axId val="1030043599"/>
      </c:lineChart>
      <c:catAx>
        <c:axId val="81898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32559"/>
        <c:crosses val="autoZero"/>
        <c:auto val="1"/>
        <c:lblAlgn val="ctr"/>
        <c:lblOffset val="100"/>
        <c:noMultiLvlLbl val="0"/>
      </c:catAx>
      <c:valAx>
        <c:axId val="103003255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18986287"/>
        <c:crosses val="autoZero"/>
        <c:crossBetween val="between"/>
      </c:valAx>
      <c:valAx>
        <c:axId val="103004359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73916080"/>
        <c:crosses val="max"/>
        <c:crossBetween val="between"/>
      </c:valAx>
      <c:catAx>
        <c:axId val="273916080"/>
        <c:scaling>
          <c:orientation val="minMax"/>
        </c:scaling>
        <c:delete val="1"/>
        <c:axPos val="b"/>
        <c:numFmt formatCode="General" sourceLinked="1"/>
        <c:majorTickMark val="out"/>
        <c:minorTickMark val="none"/>
        <c:tickLblPos val="nextTo"/>
        <c:crossAx val="10300435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1"/>
          <c:order val="1"/>
          <c:tx>
            <c:strRef>
              <c:f>'Add Trend Lines - Forecast'!$B$2</c:f>
              <c:strCache>
                <c:ptCount val="1"/>
                <c:pt idx="0">
                  <c:v>SALES</c:v>
                </c:pt>
              </c:strCache>
            </c:strRef>
          </c:tx>
          <c:spPr>
            <a:solidFill>
              <a:schemeClr val="accent2"/>
            </a:solidFill>
            <a:ln>
              <a:noFill/>
            </a:ln>
            <a:effectLst/>
          </c:spPr>
          <c:invertIfNegative val="0"/>
          <c:dPt>
            <c:idx val="8"/>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E485-4DD2-885B-B3F7E52CD6BC}"/>
              </c:ext>
            </c:extLst>
          </c:dPt>
          <c:trendline>
            <c:spPr>
              <a:ln w="19050" cap="rnd">
                <a:solidFill>
                  <a:schemeClr val="accent2"/>
                </a:solidFill>
                <a:prstDash val="sysDot"/>
              </a:ln>
              <a:effectLst/>
            </c:spPr>
            <c:trendlineType val="exp"/>
            <c:forward val="2"/>
            <c:dispRSqr val="0"/>
            <c:dispEq val="0"/>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Forecast'!$B$3:$B$11</c:f>
              <c:numCache>
                <c:formatCode>General</c:formatCode>
                <c:ptCount val="9"/>
                <c:pt idx="0">
                  <c:v>1.5</c:v>
                </c:pt>
                <c:pt idx="1">
                  <c:v>2.5</c:v>
                </c:pt>
                <c:pt idx="2">
                  <c:v>3.9</c:v>
                </c:pt>
                <c:pt idx="3">
                  <c:v>3.1</c:v>
                </c:pt>
                <c:pt idx="4">
                  <c:v>4</c:v>
                </c:pt>
                <c:pt idx="5">
                  <c:v>5</c:v>
                </c:pt>
                <c:pt idx="6">
                  <c:v>7</c:v>
                </c:pt>
                <c:pt idx="7">
                  <c:v>10</c:v>
                </c:pt>
                <c:pt idx="8" formatCode="_(* #,##0.00_);_(* \(#,##0.00\);_(* &quot;-&quot;??_);_(@_)">
                  <c:v>9.2428571428572468</c:v>
                </c:pt>
              </c:numCache>
            </c:numRef>
          </c:val>
          <c:extLst>
            <c:ext xmlns:c16="http://schemas.microsoft.com/office/drawing/2014/chart" uri="{C3380CC4-5D6E-409C-BE32-E72D297353CC}">
              <c16:uniqueId val="{00000001-BF2E-456A-880D-537C7A5688DE}"/>
            </c:ext>
          </c:extLst>
        </c:ser>
        <c:dLbls>
          <c:showLegendKey val="0"/>
          <c:showVal val="0"/>
          <c:showCatName val="0"/>
          <c:showSerName val="0"/>
          <c:showPercent val="0"/>
          <c:showBubbleSize val="0"/>
        </c:dLbls>
        <c:gapWidth val="182"/>
        <c:axId val="273925824"/>
        <c:axId val="1030045039"/>
        <c:extLst>
          <c:ext xmlns:c15="http://schemas.microsoft.com/office/drawing/2012/chart" uri="{02D57815-91ED-43cb-92C2-25804820EDAC}">
            <c15:filteredBarSeries>
              <c15:ser>
                <c:idx val="0"/>
                <c:order val="0"/>
                <c:tx>
                  <c:strRef>
                    <c:extLst>
                      <c:ext uri="{02D57815-91ED-43cb-92C2-25804820EDAC}">
                        <c15:formulaRef>
                          <c15:sqref>'Add Trend Lines - Forecast'!$A$2</c15:sqref>
                        </c15:formulaRef>
                      </c:ext>
                    </c:extLst>
                    <c:strCache>
                      <c:ptCount val="1"/>
                      <c:pt idx="0">
                        <c:v>Years</c:v>
                      </c:pt>
                    </c:strCache>
                  </c:strRef>
                </c:tx>
                <c:spPr>
                  <a:solidFill>
                    <a:schemeClr val="accent1"/>
                  </a:solidFill>
                  <a:ln>
                    <a:noFill/>
                  </a:ln>
                  <a:effectLst/>
                </c:spPr>
                <c:invertIfNegative val="0"/>
                <c:cat>
                  <c:numRef>
                    <c:extLst>
                      <c:ext uri="{02D57815-91ED-43cb-92C2-25804820EDAC}">
                        <c15:formulaRef>
                          <c15:sqref>'Add Trend Lines - Forecast'!$A$3:$A$11</c15:sqref>
                        </c15:formulaRef>
                      </c:ext>
                    </c:extLst>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extLst>
                      <c:ext uri="{02D57815-91ED-43cb-92C2-25804820EDAC}">
                        <c15:formulaRef>
                          <c15:sqref>'Add Trend Lines - Forecast'!$A$3:$A$11</c15:sqref>
                        </c15:formulaRef>
                      </c:ext>
                    </c:extLst>
                    <c:numCache>
                      <c:formatCode>General</c:formatCode>
                      <c:ptCount val="9"/>
                      <c:pt idx="0">
                        <c:v>2012</c:v>
                      </c:pt>
                      <c:pt idx="1">
                        <c:v>2013</c:v>
                      </c:pt>
                      <c:pt idx="2">
                        <c:v>2014</c:v>
                      </c:pt>
                      <c:pt idx="3">
                        <c:v>2015</c:v>
                      </c:pt>
                      <c:pt idx="4">
                        <c:v>2016</c:v>
                      </c:pt>
                      <c:pt idx="5">
                        <c:v>2017</c:v>
                      </c:pt>
                      <c:pt idx="6">
                        <c:v>2018</c:v>
                      </c:pt>
                      <c:pt idx="7">
                        <c:v>2019</c:v>
                      </c:pt>
                      <c:pt idx="8">
                        <c:v>2020</c:v>
                      </c:pt>
                    </c:numCache>
                  </c:numRef>
                </c:val>
                <c:extLst>
                  <c:ext xmlns:c16="http://schemas.microsoft.com/office/drawing/2014/chart" uri="{C3380CC4-5D6E-409C-BE32-E72D297353CC}">
                    <c16:uniqueId val="{00000000-BF2E-456A-880D-537C7A5688DE}"/>
                  </c:ext>
                </c:extLst>
              </c15:ser>
            </c15:filteredBarSeries>
          </c:ext>
        </c:extLst>
      </c:barChart>
      <c:catAx>
        <c:axId val="27392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0045039"/>
        <c:crosses val="autoZero"/>
        <c:auto val="1"/>
        <c:lblAlgn val="ctr"/>
        <c:lblOffset val="100"/>
        <c:noMultiLvlLbl val="0"/>
      </c:catAx>
      <c:valAx>
        <c:axId val="1030045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7392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2_15.09_Mariona Floris.xlsx]Sheet1!PivotTable5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0000000-A83F-4EA6-BE29-C0FD3C11731B}">
          <cx:tx>
            <cx:txData>
              <cx:f>_xlchart.v1.1</cx:f>
              <cx:v>Actual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129647</xdr:colOff>
      <xdr:row>1</xdr:row>
      <xdr:rowOff>14818</xdr:rowOff>
    </xdr:from>
    <xdr:to>
      <xdr:col>12</xdr:col>
      <xdr:colOff>105833</xdr:colOff>
      <xdr:row>14</xdr:row>
      <xdr:rowOff>15875</xdr:rowOff>
    </xdr:to>
    <xdr:graphicFrame macro="">
      <xdr:nvGraphicFramePr>
        <xdr:cNvPr id="11" name="Chart 10">
          <a:extLst>
            <a:ext uri="{FF2B5EF4-FFF2-40B4-BE49-F238E27FC236}">
              <a16:creationId xmlns:a16="http://schemas.microsoft.com/office/drawing/2014/main" id="{85451AE5-4A9F-FE29-7256-246CA1F3A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97896</xdr:colOff>
      <xdr:row>15</xdr:row>
      <xdr:rowOff>95249</xdr:rowOff>
    </xdr:from>
    <xdr:to>
      <xdr:col>12</xdr:col>
      <xdr:colOff>100542</xdr:colOff>
      <xdr:row>29</xdr:row>
      <xdr:rowOff>143933</xdr:rowOff>
    </xdr:to>
    <xdr:graphicFrame macro="">
      <xdr:nvGraphicFramePr>
        <xdr:cNvPr id="12" name="Chart 11">
          <a:extLst>
            <a:ext uri="{FF2B5EF4-FFF2-40B4-BE49-F238E27FC236}">
              <a16:creationId xmlns:a16="http://schemas.microsoft.com/office/drawing/2014/main" id="{845F625A-A73A-EC91-4A60-9C2F88720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245534</xdr:colOff>
      <xdr:row>1</xdr:row>
      <xdr:rowOff>1058</xdr:rowOff>
    </xdr:from>
    <xdr:to>
      <xdr:col>12</xdr:col>
      <xdr:colOff>550334</xdr:colOff>
      <xdr:row>15</xdr:row>
      <xdr:rowOff>167216</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402166</xdr:colOff>
      <xdr:row>0</xdr:row>
      <xdr:rowOff>25398</xdr:rowOff>
    </xdr:from>
    <xdr:to>
      <xdr:col>11</xdr:col>
      <xdr:colOff>119943</xdr:colOff>
      <xdr:row>15</xdr:row>
      <xdr:rowOff>16931</xdr:rowOff>
    </xdr:to>
    <xdr:graphicFrame macro="">
      <xdr:nvGraphicFramePr>
        <xdr:cNvPr id="3" name="Chart 2">
          <a:extLst>
            <a:ext uri="{FF2B5EF4-FFF2-40B4-BE49-F238E27FC236}">
              <a16:creationId xmlns:a16="http://schemas.microsoft.com/office/drawing/2014/main" id="{46A788FA-789F-AFEE-832C-23216F806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587374</xdr:colOff>
      <xdr:row>0</xdr:row>
      <xdr:rowOff>180974</xdr:rowOff>
    </xdr:from>
    <xdr:to>
      <xdr:col>10</xdr:col>
      <xdr:colOff>450849</xdr:colOff>
      <xdr:row>20</xdr:row>
      <xdr:rowOff>19050</xdr:rowOff>
    </xdr:to>
    <xdr:graphicFrame macro="">
      <xdr:nvGraphicFramePr>
        <xdr:cNvPr id="2" name="Chart 1">
          <a:extLst>
            <a:ext uri="{FF2B5EF4-FFF2-40B4-BE49-F238E27FC236}">
              <a16:creationId xmlns:a16="http://schemas.microsoft.com/office/drawing/2014/main" id="{35A83054-B2FD-7634-1DEE-C6374E5DF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105"/>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5773</xdr:colOff>
      <xdr:row>0</xdr:row>
      <xdr:rowOff>184150</xdr:rowOff>
    </xdr:from>
    <xdr:to>
      <xdr:col>10</xdr:col>
      <xdr:colOff>294409</xdr:colOff>
      <xdr:row>15</xdr:row>
      <xdr:rowOff>156441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77A0819-1641-1D76-AA16-72AAC54FF4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34573" y="184150"/>
              <a:ext cx="4555836" cy="2734541"/>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D3D10-2AC1-4172-9D42-E990A31CD948}" name="Table1" displayName="Table1" ref="C3:E10" totalsRowShown="0" headerRowDxfId="6" headerRowBorderDxfId="5" tableBorderDxfId="4" totalsRowBorderDxfId="3">
  <autoFilter ref="C3:E10" xr:uid="{B75D3D10-2AC1-4172-9D42-E990A31CD948}"/>
  <tableColumns count="3">
    <tableColumn id="1" xr3:uid="{9C4D9582-AFD6-4A1D-9029-C33996B0AAA9}" name="Year" dataDxfId="2"/>
    <tableColumn id="2" xr3:uid="{F54D8489-FD62-4DFC-A897-46AFFA2C1CB8}" name="Sales" dataDxfId="1"/>
    <tableColumn id="3" xr3:uid="{D683B8B6-FDC5-4285-899D-6A68F683A9EC}" name="Profi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topLeftCell="A7" workbookViewId="0">
      <selection activeCell="E27" sqref="E27"/>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A21" t="s">
        <v>136</v>
      </c>
      <c r="B21" t="s">
        <v>128</v>
      </c>
    </row>
    <row r="24" spans="1:2" x14ac:dyDescent="0.35">
      <c r="A24" s="8" t="s">
        <v>130</v>
      </c>
      <c r="B24" t="s">
        <v>131</v>
      </c>
    </row>
    <row r="25" spans="1:2" x14ac:dyDescent="0.35">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N10"/>
  <sheetViews>
    <sheetView showGridLines="0" zoomScale="120" zoomScaleNormal="120" workbookViewId="0">
      <selection activeCell="E16" sqref="E16"/>
    </sheetView>
  </sheetViews>
  <sheetFormatPr defaultRowHeight="14.5" x14ac:dyDescent="0.35"/>
  <cols>
    <col min="1" max="1" width="3.453125" customWidth="1"/>
    <col min="2" max="2" width="2.08984375" customWidth="1"/>
    <col min="3" max="5" width="11.6328125" customWidth="1"/>
  </cols>
  <sheetData>
    <row r="2" spans="3:14" x14ac:dyDescent="0.35">
      <c r="C2" s="105" t="s">
        <v>77</v>
      </c>
      <c r="D2" s="105"/>
      <c r="E2" s="105"/>
      <c r="N2" t="s">
        <v>137</v>
      </c>
    </row>
    <row r="3" spans="3:14" x14ac:dyDescent="0.35">
      <c r="C3" s="102" t="s">
        <v>0</v>
      </c>
      <c r="D3" s="103" t="s">
        <v>1</v>
      </c>
      <c r="E3" s="104" t="s">
        <v>2</v>
      </c>
      <c r="N3" t="s">
        <v>138</v>
      </c>
    </row>
    <row r="4" spans="3:14" x14ac:dyDescent="0.35">
      <c r="C4" s="97">
        <v>2013</v>
      </c>
      <c r="D4" s="96">
        <v>500</v>
      </c>
      <c r="E4" s="98">
        <v>105</v>
      </c>
    </row>
    <row r="5" spans="3:14" x14ac:dyDescent="0.35">
      <c r="C5" s="97">
        <v>2014</v>
      </c>
      <c r="D5" s="96">
        <v>869</v>
      </c>
      <c r="E5" s="98">
        <v>258</v>
      </c>
    </row>
    <row r="6" spans="3:14" x14ac:dyDescent="0.35">
      <c r="C6" s="97">
        <v>2015</v>
      </c>
      <c r="D6" s="96">
        <v>800</v>
      </c>
      <c r="E6" s="98">
        <v>313</v>
      </c>
    </row>
    <row r="7" spans="3:14" x14ac:dyDescent="0.35">
      <c r="C7" s="97">
        <v>2016</v>
      </c>
      <c r="D7" s="96">
        <v>541</v>
      </c>
      <c r="E7" s="98">
        <v>137</v>
      </c>
    </row>
    <row r="8" spans="3:14" x14ac:dyDescent="0.35">
      <c r="C8" s="97">
        <v>2017</v>
      </c>
      <c r="D8" s="96">
        <v>590</v>
      </c>
      <c r="E8" s="98">
        <v>131</v>
      </c>
    </row>
    <row r="9" spans="3:14" x14ac:dyDescent="0.35">
      <c r="C9" s="97">
        <v>2018</v>
      </c>
      <c r="D9" s="96">
        <v>700</v>
      </c>
      <c r="E9" s="98">
        <v>800</v>
      </c>
    </row>
    <row r="10" spans="3:14" x14ac:dyDescent="0.35">
      <c r="C10" s="99">
        <v>2019</v>
      </c>
      <c r="D10" s="100">
        <v>650</v>
      </c>
      <c r="E10" s="101">
        <v>350</v>
      </c>
    </row>
  </sheetData>
  <mergeCells count="1">
    <mergeCell ref="C2:E2"/>
  </mergeCells>
  <pageMargins left="0.7" right="0.7" top="0.75" bottom="0.75" header="0.3" footer="0.3"/>
  <pageSetup orientation="portrait" horizontalDpi="200" verticalDpi="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105" t="s">
        <v>31</v>
      </c>
      <c r="D2" s="105"/>
      <c r="E2" s="105"/>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105" t="s">
        <v>30</v>
      </c>
      <c r="D2" s="105"/>
      <c r="E2" s="105"/>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zoomScale="120" zoomScaleNormal="120" workbookViewId="0">
      <selection activeCell="E13" sqref="E13"/>
    </sheetView>
  </sheetViews>
  <sheetFormatPr defaultRowHeight="14.5" x14ac:dyDescent="0.35"/>
  <cols>
    <col min="1" max="1" width="3.453125" customWidth="1"/>
    <col min="2" max="2" width="2.08984375" customWidth="1"/>
    <col min="3" max="5" width="11.6328125" customWidth="1"/>
  </cols>
  <sheetData>
    <row r="2" spans="3:5" x14ac:dyDescent="0.35">
      <c r="C2" s="105" t="s">
        <v>78</v>
      </c>
      <c r="D2" s="105"/>
      <c r="E2" s="105"/>
    </row>
    <row r="3" spans="3:5" x14ac:dyDescent="0.35">
      <c r="C3" s="55" t="s">
        <v>0</v>
      </c>
      <c r="D3" s="55" t="s">
        <v>2</v>
      </c>
      <c r="E3" s="55"/>
    </row>
    <row r="4" spans="3:5" x14ac:dyDescent="0.35">
      <c r="C4" s="56">
        <v>2013</v>
      </c>
      <c r="D4" s="54">
        <v>600</v>
      </c>
      <c r="E4" s="54"/>
    </row>
    <row r="5" spans="3:5" x14ac:dyDescent="0.35">
      <c r="C5" s="56">
        <v>2014</v>
      </c>
      <c r="D5" s="54">
        <v>-50</v>
      </c>
      <c r="E5" s="54"/>
    </row>
    <row r="6" spans="3:5" x14ac:dyDescent="0.35">
      <c r="C6" s="56">
        <v>2015</v>
      </c>
      <c r="D6" s="54">
        <v>100</v>
      </c>
      <c r="E6" s="54"/>
    </row>
    <row r="7" spans="3:5" x14ac:dyDescent="0.35">
      <c r="C7" s="56">
        <v>2016</v>
      </c>
      <c r="D7" s="54">
        <v>-150</v>
      </c>
      <c r="E7" s="54"/>
    </row>
    <row r="8" spans="3:5" x14ac:dyDescent="0.35">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zoomScale="90" zoomScaleNormal="90" workbookViewId="0">
      <selection activeCell="N20" sqref="N20"/>
    </sheetView>
  </sheetViews>
  <sheetFormatPr defaultRowHeight="14.5" x14ac:dyDescent="0.35"/>
  <cols>
    <col min="1" max="1" width="11.453125" bestFit="1" customWidth="1"/>
    <col min="2" max="2" width="10" customWidth="1"/>
    <col min="3" max="3" width="10.08984375" bestFit="1" customWidth="1"/>
  </cols>
  <sheetData>
    <row r="1" spans="1:3" x14ac:dyDescent="0.35">
      <c r="A1" s="67" t="s">
        <v>81</v>
      </c>
      <c r="B1" s="67" t="s">
        <v>75</v>
      </c>
      <c r="C1" s="67" t="s">
        <v>80</v>
      </c>
    </row>
    <row r="2" spans="1:3" x14ac:dyDescent="0.35">
      <c r="A2" s="59" t="s">
        <v>82</v>
      </c>
      <c r="B2" s="66">
        <f>C2*80</f>
        <v>25360</v>
      </c>
      <c r="C2" s="66">
        <v>317</v>
      </c>
    </row>
    <row r="3" spans="1:3" x14ac:dyDescent="0.35">
      <c r="A3" s="59" t="s">
        <v>83</v>
      </c>
      <c r="B3" s="66">
        <v>20000</v>
      </c>
      <c r="C3" s="66">
        <v>500</v>
      </c>
    </row>
    <row r="4" spans="1:3" x14ac:dyDescent="0.35">
      <c r="A4" s="59" t="s">
        <v>84</v>
      </c>
      <c r="B4" s="66">
        <f t="shared" ref="B4:B8" si="0">C4*80</f>
        <v>23120</v>
      </c>
      <c r="C4" s="66">
        <v>289</v>
      </c>
    </row>
    <row r="5" spans="1:3" x14ac:dyDescent="0.35">
      <c r="A5" s="59" t="s">
        <v>85</v>
      </c>
      <c r="B5" s="66">
        <f t="shared" si="0"/>
        <v>5520</v>
      </c>
      <c r="C5" s="66">
        <v>69</v>
      </c>
    </row>
    <row r="6" spans="1:3" x14ac:dyDescent="0.35">
      <c r="A6" s="59" t="s">
        <v>86</v>
      </c>
      <c r="B6" s="66">
        <f t="shared" si="0"/>
        <v>2160</v>
      </c>
      <c r="C6" s="66">
        <v>27</v>
      </c>
    </row>
    <row r="7" spans="1:3" x14ac:dyDescent="0.35">
      <c r="A7" s="59" t="s">
        <v>87</v>
      </c>
      <c r="B7" s="66">
        <f t="shared" si="0"/>
        <v>9600</v>
      </c>
      <c r="C7" s="66">
        <v>120</v>
      </c>
    </row>
    <row r="8" spans="1:3" x14ac:dyDescent="0.35">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tabSelected="1" zoomScaleNormal="100" workbookViewId="0">
      <selection activeCell="M9" sqref="M9"/>
    </sheetView>
  </sheetViews>
  <sheetFormatPr defaultRowHeight="14.5" x14ac:dyDescent="0.35"/>
  <cols>
    <col min="1" max="1" width="13.453125" bestFit="1" customWidth="1"/>
    <col min="2" max="2" width="11.90625" bestFit="1" customWidth="1"/>
  </cols>
  <sheetData>
    <row r="1" spans="1:3" x14ac:dyDescent="0.35">
      <c r="A1" t="s">
        <v>89</v>
      </c>
      <c r="B1" t="s">
        <v>91</v>
      </c>
    </row>
    <row r="2" spans="1:3" x14ac:dyDescent="0.35">
      <c r="A2" s="55" t="s">
        <v>37</v>
      </c>
      <c r="B2" s="55" t="s">
        <v>90</v>
      </c>
    </row>
    <row r="3" spans="1:3" x14ac:dyDescent="0.35">
      <c r="A3" s="54">
        <v>2012</v>
      </c>
      <c r="B3" s="54">
        <v>1.5</v>
      </c>
    </row>
    <row r="4" spans="1:3" x14ac:dyDescent="0.35">
      <c r="A4" s="54">
        <v>2013</v>
      </c>
      <c r="B4" s="54">
        <v>2.5</v>
      </c>
    </row>
    <row r="5" spans="1:3" x14ac:dyDescent="0.35">
      <c r="A5" s="54">
        <v>2014</v>
      </c>
      <c r="B5" s="54">
        <v>3.9</v>
      </c>
    </row>
    <row r="6" spans="1:3" x14ac:dyDescent="0.35">
      <c r="A6" s="54">
        <v>2015</v>
      </c>
      <c r="B6" s="54">
        <v>3.1</v>
      </c>
    </row>
    <row r="7" spans="1:3" x14ac:dyDescent="0.35">
      <c r="A7" s="54">
        <v>2016</v>
      </c>
      <c r="B7" s="54">
        <v>4</v>
      </c>
    </row>
    <row r="8" spans="1:3" x14ac:dyDescent="0.35">
      <c r="A8" s="54">
        <v>2017</v>
      </c>
      <c r="B8" s="54">
        <v>5</v>
      </c>
    </row>
    <row r="9" spans="1:3" x14ac:dyDescent="0.35">
      <c r="A9" s="54">
        <v>2018</v>
      </c>
      <c r="B9" s="54">
        <v>7</v>
      </c>
    </row>
    <row r="10" spans="1:3" x14ac:dyDescent="0.35">
      <c r="A10" s="54">
        <v>2019</v>
      </c>
      <c r="B10" s="54">
        <v>10</v>
      </c>
    </row>
    <row r="11" spans="1:3"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107" t="s">
        <v>79</v>
      </c>
      <c r="C1" s="108"/>
      <c r="D1" s="109"/>
    </row>
    <row r="2" spans="2:4" ht="14.5" x14ac:dyDescent="0.35"/>
    <row r="3" spans="2:4" ht="14.5" hidden="1" x14ac:dyDescent="0.35">
      <c r="B3" s="50"/>
      <c r="C3" s="110">
        <v>2017</v>
      </c>
      <c r="D3" s="111"/>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106"/>
      <c r="D18" s="106"/>
    </row>
    <row r="19" spans="3:4" ht="14.5" x14ac:dyDescent="0.35">
      <c r="C19" s="106"/>
      <c r="D19" s="106"/>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topLeftCell="C1" zoomScale="110" zoomScaleNormal="110" workbookViewId="0">
      <selection activeCell="H21" sqref="H21"/>
    </sheetView>
  </sheetViews>
  <sheetFormatPr defaultRowHeight="14.5" x14ac:dyDescent="0.35"/>
  <cols>
    <col min="1" max="3" width="11.453125" customWidth="1"/>
    <col min="4" max="4" width="19.36328125" customWidth="1"/>
  </cols>
  <sheetData>
    <row r="1" spans="1:4" x14ac:dyDescent="0.35">
      <c r="A1" s="47" t="s">
        <v>37</v>
      </c>
      <c r="B1" s="48" t="s">
        <v>75</v>
      </c>
      <c r="C1" s="48" t="s">
        <v>76</v>
      </c>
      <c r="D1" s="49" t="s">
        <v>3</v>
      </c>
    </row>
    <row r="2" spans="1:4" x14ac:dyDescent="0.35">
      <c r="A2" s="2">
        <v>2012</v>
      </c>
      <c r="B2" s="3">
        <v>2610</v>
      </c>
      <c r="C2" s="3">
        <v>1214</v>
      </c>
      <c r="D2" s="4">
        <v>48</v>
      </c>
    </row>
    <row r="3" spans="1:4" x14ac:dyDescent="0.35">
      <c r="A3" s="2">
        <v>2013</v>
      </c>
      <c r="B3" s="3">
        <v>2795</v>
      </c>
      <c r="C3" s="3">
        <v>1235</v>
      </c>
      <c r="D3" s="4">
        <v>391</v>
      </c>
    </row>
    <row r="4" spans="1:4" x14ac:dyDescent="0.35">
      <c r="A4" s="2">
        <v>2014</v>
      </c>
      <c r="B4" s="3">
        <v>1048</v>
      </c>
      <c r="C4" s="3">
        <v>1000</v>
      </c>
      <c r="D4" s="4">
        <v>262</v>
      </c>
    </row>
    <row r="5" spans="1:4" x14ac:dyDescent="0.35">
      <c r="A5" s="2">
        <v>2015</v>
      </c>
      <c r="B5" s="3">
        <v>2433</v>
      </c>
      <c r="C5" s="3">
        <v>2200</v>
      </c>
      <c r="D5" s="4">
        <v>110</v>
      </c>
    </row>
    <row r="6" spans="1:4" x14ac:dyDescent="0.35">
      <c r="A6" s="2">
        <v>2016</v>
      </c>
      <c r="B6" s="3">
        <v>2919</v>
      </c>
      <c r="C6" s="3">
        <v>2500</v>
      </c>
      <c r="D6" s="4">
        <v>873</v>
      </c>
    </row>
    <row r="7" spans="1:4" x14ac:dyDescent="0.35">
      <c r="A7" s="2">
        <v>2017</v>
      </c>
      <c r="B7" s="3">
        <v>2316</v>
      </c>
      <c r="C7" s="3">
        <v>1456</v>
      </c>
      <c r="D7" s="4">
        <v>159</v>
      </c>
    </row>
    <row r="8" spans="1:4" x14ac:dyDescent="0.35">
      <c r="A8" s="5">
        <v>2018</v>
      </c>
      <c r="B8" s="6">
        <v>1707</v>
      </c>
      <c r="C8" s="6">
        <v>1309</v>
      </c>
      <c r="D8" s="7">
        <v>206</v>
      </c>
    </row>
    <row r="9" spans="1:4" x14ac:dyDescent="0.35">
      <c r="A9" s="8"/>
    </row>
    <row r="10" spans="1:4" x14ac:dyDescent="0.35">
      <c r="A10" s="8"/>
      <c r="B10" t="b">
        <v>1</v>
      </c>
      <c r="C10" t="b">
        <v>1</v>
      </c>
      <c r="D10" t="b">
        <v>1</v>
      </c>
    </row>
    <row r="11" spans="1:4" x14ac:dyDescent="0.35">
      <c r="A11" s="46" t="s">
        <v>37</v>
      </c>
      <c r="B11" t="str">
        <f>IF(B$10=TRUE,B1,NA())</f>
        <v>Revenue</v>
      </c>
      <c r="C11" t="str">
        <f t="shared" ref="C11:D11" si="0">IF(C$10=TRUE,C1,NA())</f>
        <v>Net Profit</v>
      </c>
      <c r="D11" t="str">
        <f t="shared" si="0"/>
        <v>No. of customers</v>
      </c>
    </row>
    <row r="12" spans="1:4" x14ac:dyDescent="0.35">
      <c r="A12" s="2">
        <v>2012</v>
      </c>
      <c r="B12">
        <f>IF(B$10=TRUE,B2,NA())</f>
        <v>2610</v>
      </c>
    </row>
    <row r="13" spans="1:4" x14ac:dyDescent="0.35">
      <c r="A13" s="2">
        <v>2013</v>
      </c>
    </row>
    <row r="14" spans="1:4" x14ac:dyDescent="0.35">
      <c r="A14" s="2">
        <v>2014</v>
      </c>
    </row>
    <row r="15" spans="1:4" x14ac:dyDescent="0.35">
      <c r="A15" s="2">
        <v>2015</v>
      </c>
    </row>
    <row r="16" spans="1:4"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12"/>
      <c r="C2" s="113"/>
      <c r="D2" s="113"/>
      <c r="E2" s="113"/>
      <c r="F2" s="113"/>
      <c r="G2" s="114"/>
    </row>
    <row r="3" spans="2:10" ht="6" customHeight="1" x14ac:dyDescent="0.35">
      <c r="B3" s="70"/>
      <c r="C3" s="71"/>
      <c r="D3" s="71"/>
      <c r="E3" s="71"/>
      <c r="F3" s="71"/>
      <c r="G3" s="72"/>
    </row>
    <row r="4" spans="2:10" x14ac:dyDescent="0.35">
      <c r="B4" s="115" t="s">
        <v>58</v>
      </c>
      <c r="C4" s="116"/>
      <c r="D4" s="116"/>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zoomScale="110" zoomScaleNormal="110" workbookViewId="0">
      <selection activeCell="C11" sqref="C11"/>
    </sheetView>
  </sheetViews>
  <sheetFormatPr defaultRowHeight="14.5" x14ac:dyDescent="0.35"/>
  <sheetData>
    <row r="1" spans="1:2" x14ac:dyDescent="0.35">
      <c r="A1" s="60" t="s">
        <v>69</v>
      </c>
      <c r="B1" s="61" t="s">
        <v>19</v>
      </c>
    </row>
    <row r="2" spans="1:2" x14ac:dyDescent="0.35">
      <c r="A2" s="63" t="s">
        <v>70</v>
      </c>
      <c r="B2" s="62">
        <v>446</v>
      </c>
    </row>
    <row r="3" spans="1:2" x14ac:dyDescent="0.35">
      <c r="A3" s="63" t="s">
        <v>71</v>
      </c>
      <c r="B3" s="62">
        <v>375</v>
      </c>
    </row>
    <row r="4" spans="1:2" x14ac:dyDescent="0.35">
      <c r="A4" s="63" t="s">
        <v>72</v>
      </c>
      <c r="B4" s="62">
        <v>391</v>
      </c>
    </row>
    <row r="5" spans="1:2" x14ac:dyDescent="0.35">
      <c r="A5" s="63" t="s">
        <v>73</v>
      </c>
      <c r="B5" s="62">
        <v>700</v>
      </c>
    </row>
    <row r="6" spans="1:2" x14ac:dyDescent="0.35">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17" t="s">
        <v>98</v>
      </c>
      <c r="C4" s="118"/>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17" t="s">
        <v>102</v>
      </c>
      <c r="C12" s="118"/>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Mariona Floris Martin</cp:lastModifiedBy>
  <dcterms:created xsi:type="dcterms:W3CDTF">2015-06-05T18:17:20Z</dcterms:created>
  <dcterms:modified xsi:type="dcterms:W3CDTF">2026-09-15T16:27:36Z</dcterms:modified>
</cp:coreProperties>
</file>