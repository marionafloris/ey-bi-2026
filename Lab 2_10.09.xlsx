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people.ey.com/personal/mariona_floris_martin_es_ey_com/Documents/Desktop/Ironhack/10.09/"/>
    </mc:Choice>
  </mc:AlternateContent>
  <xr:revisionPtr revIDLastSave="32" documentId="13_ncr:1_{1E38B727-8637-49C2-83A4-EE2BEFAC8DA5}" xr6:coauthVersionLast="47" xr6:coauthVersionMax="47" xr10:uidLastSave="{F4396940-1E46-4B8B-A372-FC59E1BC97B7}"/>
  <bookViews>
    <workbookView xWindow="-110" yWindow="-110" windowWidth="19420" windowHeight="11500" tabRatio="843" xr2:uid="{00000000-000D-0000-FFFF-FFFF00000000}"/>
  </bookViews>
  <sheets>
    <sheet name="Análisis" sheetId="10" r:id="rId1"/>
  </sheets>
  <definedNames>
    <definedName name="_xlnm._FilterDatabase" localSheetId="0" hidden="1">Análisis!$A$1:$L$1</definedName>
    <definedName name="AssuranceTa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5" i="10" l="1"/>
  <c r="O14" i="10"/>
  <c r="O13" i="10"/>
  <c r="O12" i="10"/>
  <c r="O11" i="10"/>
  <c r="O9" i="10"/>
  <c r="O8" i="10"/>
  <c r="O7" i="10"/>
  <c r="O6" i="10"/>
  <c r="O5" i="10"/>
  <c r="O4" i="10"/>
  <c r="O3" i="10"/>
</calcChain>
</file>

<file path=xl/sharedStrings.xml><?xml version="1.0" encoding="utf-8"?>
<sst xmlns="http://schemas.openxmlformats.org/spreadsheetml/2006/main" count="6452" uniqueCount="1118">
  <si>
    <t>Monthly Premium Auto</t>
  </si>
  <si>
    <t>California</t>
  </si>
  <si>
    <t>Customer</t>
  </si>
  <si>
    <t>Income</t>
  </si>
  <si>
    <t>Number of Open Complaints</t>
  </si>
  <si>
    <t>Vehicle Class</t>
  </si>
  <si>
    <t>Date</t>
  </si>
  <si>
    <t>RB50392</t>
  </si>
  <si>
    <t>Washington</t>
  </si>
  <si>
    <t>NA</t>
  </si>
  <si>
    <t>Master</t>
  </si>
  <si>
    <t>Four-Door Car</t>
  </si>
  <si>
    <t>QZ44356</t>
  </si>
  <si>
    <t>F</t>
  </si>
  <si>
    <t>Bachelor</t>
  </si>
  <si>
    <t>AI49188</t>
  </si>
  <si>
    <t>Nevada</t>
  </si>
  <si>
    <t>Two-Door Car</t>
  </si>
  <si>
    <t>WW63253</t>
  </si>
  <si>
    <t>M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</si>
  <si>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</si>
  <si>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</si>
  <si>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</si>
  <si>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</si>
  <si>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</si>
  <si>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</si>
  <si>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</si>
  <si>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</si>
  <si>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Arizona</t>
  </si>
  <si>
    <t>DY87989</t>
  </si>
  <si>
    <t>BQ94931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</si>
  <si>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</si>
  <si>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</si>
  <si>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</si>
  <si>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</si>
  <si>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</si>
  <si>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</si>
  <si>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</si>
  <si>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</si>
  <si>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WC83389</t>
  </si>
  <si>
    <t>FL50705</t>
  </si>
  <si>
    <t>ZK25313</t>
  </si>
  <si>
    <t>QK46697</t>
  </si>
  <si>
    <t>YH23384</t>
  </si>
  <si>
    <t>TZ98966</t>
  </si>
  <si>
    <t>HM55802</t>
  </si>
  <si>
    <t>FS42516</t>
  </si>
  <si>
    <t>US89481</t>
  </si>
  <si>
    <t>HS14476</t>
  </si>
  <si>
    <t>GE62437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</si>
  <si>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</si>
  <si>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</si>
  <si>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</si>
  <si>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</si>
  <si>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</si>
  <si>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</si>
  <si>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</si>
  <si>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</si>
  <si>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</si>
  <si>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</si>
  <si>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</si>
  <si>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</si>
  <si>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</si>
  <si>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</si>
  <si>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</si>
  <si>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</si>
  <si>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</si>
  <si>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</si>
  <si>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</si>
  <si>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</si>
  <si>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</si>
  <si>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</si>
  <si>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</si>
  <si>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</si>
  <si>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</si>
  <si>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</si>
  <si>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</si>
  <si>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</si>
  <si>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</si>
  <si>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</si>
  <si>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</si>
  <si>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</si>
  <si>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</si>
  <si>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</si>
  <si>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</si>
  <si>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</si>
  <si>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</si>
  <si>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</si>
  <si>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</si>
  <si>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</si>
  <si>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</si>
  <si>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</si>
  <si>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</si>
  <si>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</si>
  <si>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</si>
  <si>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</si>
  <si>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</si>
  <si>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</si>
  <si>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</si>
  <si>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</si>
  <si>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</si>
  <si>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</si>
  <si>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</si>
  <si>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</si>
  <si>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</si>
  <si>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</si>
  <si>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</si>
  <si>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</si>
  <si>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</si>
  <si>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</si>
  <si>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</si>
  <si>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</si>
  <si>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</si>
  <si>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</si>
  <si>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</si>
  <si>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</si>
  <si>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</si>
  <si>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</si>
  <si>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</si>
  <si>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</si>
  <si>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</si>
  <si>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</si>
  <si>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</si>
  <si>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</si>
  <si>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</si>
  <si>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</si>
  <si>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</si>
  <si>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</si>
  <si>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</si>
  <si>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</si>
  <si>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</si>
  <si>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</si>
  <si>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</si>
  <si>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</si>
  <si>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</si>
  <si>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</si>
  <si>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</si>
  <si>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</si>
  <si>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</si>
  <si>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</si>
  <si>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</si>
  <si>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</si>
  <si>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</si>
  <si>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</si>
  <si>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</si>
  <si>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</si>
  <si>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</si>
  <si>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</si>
  <si>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</si>
  <si>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</si>
  <si>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</si>
  <si>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</si>
  <si>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</si>
  <si>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</si>
  <si>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</si>
  <si>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</si>
  <si>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</si>
  <si>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</si>
  <si>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</si>
  <si>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</si>
  <si>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</si>
  <si>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</si>
  <si>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</si>
  <si>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</si>
  <si>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</si>
  <si>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</si>
  <si>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</si>
  <si>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</si>
  <si>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</si>
  <si>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</si>
  <si>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</si>
  <si>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</si>
  <si>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</si>
  <si>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</si>
  <si>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</si>
  <si>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</si>
  <si>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</si>
  <si>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</si>
  <si>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</si>
  <si>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</si>
  <si>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</si>
  <si>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</si>
  <si>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</si>
  <si>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</si>
  <si>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</si>
  <si>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</si>
  <si>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</si>
  <si>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</si>
  <si>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</si>
  <si>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</si>
  <si>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</si>
  <si>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</si>
  <si>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</si>
  <si>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</si>
  <si>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</si>
  <si>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</si>
  <si>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</si>
  <si>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</si>
  <si>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</si>
  <si>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</si>
  <si>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</si>
  <si>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</si>
  <si>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</si>
  <si>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</si>
  <si>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</si>
  <si>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</si>
  <si>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</si>
  <si>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</si>
  <si>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</si>
  <si>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</si>
  <si>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</si>
  <si>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</si>
  <si>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</si>
  <si>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</si>
  <si>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</si>
  <si>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</si>
  <si>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</si>
  <si>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</si>
  <si>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</si>
  <si>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</si>
  <si>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</si>
  <si>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</si>
  <si>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</si>
  <si>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</si>
  <si>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</si>
  <si>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</si>
  <si>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</si>
  <si>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</si>
  <si>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</si>
  <si>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</si>
  <si>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</si>
  <si>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</si>
  <si>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</si>
  <si>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</si>
  <si>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</si>
  <si>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</si>
  <si>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</si>
  <si>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</si>
  <si>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</si>
  <si>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</si>
  <si>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</si>
  <si>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</si>
  <si>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</si>
  <si>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</si>
  <si>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</si>
  <si>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</si>
  <si>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</si>
  <si>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</si>
  <si>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</si>
  <si>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</si>
  <si>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</si>
  <si>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</si>
  <si>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</si>
  <si>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</si>
  <si>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</si>
  <si>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</si>
  <si>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</si>
  <si>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</si>
  <si>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</si>
  <si>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</si>
  <si>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</si>
  <si>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</si>
  <si>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</si>
  <si>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</si>
  <si>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</si>
  <si>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</si>
  <si>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</si>
  <si>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</si>
  <si>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</si>
  <si>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</si>
  <si>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</si>
  <si>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</si>
  <si>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</si>
  <si>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</si>
  <si>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</si>
  <si>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</si>
  <si>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</si>
  <si>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</si>
  <si>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</si>
  <si>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</si>
  <si>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</si>
  <si>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</si>
  <si>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</si>
  <si>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</si>
  <si>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</si>
  <si>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</si>
  <si>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</si>
  <si>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</si>
  <si>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</si>
  <si>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</si>
  <si>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</si>
  <si>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</si>
  <si>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</si>
  <si>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</si>
  <si>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</si>
  <si>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</si>
  <si>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</si>
  <si>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</si>
  <si>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</si>
  <si>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</si>
  <si>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</si>
  <si>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</si>
  <si>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</si>
  <si>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</si>
  <si>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</si>
  <si>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</si>
  <si>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</si>
  <si>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</si>
  <si>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</si>
  <si>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</si>
  <si>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</si>
  <si>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</si>
  <si>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</si>
  <si>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</si>
  <si>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</si>
  <si>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</si>
  <si>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</si>
  <si>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</si>
  <si>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</si>
  <si>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</si>
  <si>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</si>
  <si>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</si>
  <si>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</si>
  <si>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</si>
  <si>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</si>
  <si>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</si>
  <si>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</si>
  <si>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</si>
  <si>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</si>
  <si>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</si>
  <si>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</si>
  <si>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</si>
  <si>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</si>
  <si>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</si>
  <si>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</si>
  <si>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</si>
  <si>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</si>
  <si>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</si>
  <si>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</si>
  <si>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</si>
  <si>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</si>
  <si>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</si>
  <si>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</si>
  <si>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</si>
  <si>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</si>
  <si>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</si>
  <si>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</si>
  <si>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</si>
  <si>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</si>
  <si>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</si>
  <si>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</si>
  <si>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</si>
  <si>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</si>
  <si>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</si>
  <si>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</si>
  <si>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</si>
  <si>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</si>
  <si>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</si>
  <si>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</si>
  <si>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</si>
  <si>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</si>
  <si>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</si>
  <si>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</si>
  <si>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</si>
  <si>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</si>
  <si>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</si>
  <si>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</si>
  <si>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</si>
  <si>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</si>
  <si>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</si>
  <si>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</si>
  <si>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</si>
  <si>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</si>
  <si>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</si>
  <si>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</si>
  <si>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</si>
  <si>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</si>
  <si>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</si>
  <si>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</si>
  <si>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</si>
  <si>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</si>
  <si>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</si>
  <si>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</si>
  <si>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</si>
  <si>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</si>
  <si>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</si>
  <si>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</si>
  <si>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</si>
  <si>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</si>
  <si>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</si>
  <si>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</si>
  <si>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</si>
  <si>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</si>
  <si>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</si>
  <si>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</si>
  <si>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</si>
  <si>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</si>
  <si>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</si>
  <si>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</si>
  <si>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</si>
  <si>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</si>
  <si>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</si>
  <si>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</si>
  <si>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</si>
  <si>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</si>
  <si>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</si>
  <si>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</si>
  <si>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</si>
  <si>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</si>
  <si>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</si>
  <si>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</si>
  <si>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</si>
  <si>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</si>
  <si>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</si>
  <si>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</si>
  <si>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</si>
  <si>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</si>
  <si>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</si>
  <si>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</si>
  <si>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</si>
  <si>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</si>
  <si>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</si>
  <si>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</si>
  <si>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</si>
  <si>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</si>
  <si>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</si>
  <si>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</si>
  <si>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</si>
  <si>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</si>
  <si>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</si>
  <si>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</si>
  <si>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</si>
  <si>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</si>
  <si>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</si>
  <si>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</si>
  <si>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</si>
  <si>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</si>
  <si>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</si>
  <si>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</si>
  <si>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</si>
  <si>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</si>
  <si>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</si>
  <si>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</si>
  <si>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</si>
  <si>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</si>
  <si>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</si>
  <si>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</si>
  <si>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</si>
  <si>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</si>
  <si>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</si>
  <si>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</si>
  <si>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</si>
  <si>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</si>
  <si>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</si>
  <si>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</si>
  <si>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</si>
  <si>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</si>
  <si>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</si>
  <si>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</si>
  <si>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</si>
  <si>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</si>
  <si>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</si>
  <si>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</si>
  <si>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</si>
  <si>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</si>
  <si>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</si>
  <si>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</si>
  <si>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</si>
  <si>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</si>
  <si>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</si>
  <si>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</si>
  <si>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</si>
  <si>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</si>
  <si>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</si>
  <si>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</si>
  <si>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</si>
  <si>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</si>
  <si>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</si>
  <si>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</si>
  <si>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</si>
  <si>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</si>
  <si>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</si>
  <si>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</si>
  <si>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</si>
  <si>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</si>
  <si>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</si>
  <si>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</si>
  <si>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</si>
  <si>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</si>
  <si>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</si>
  <si>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</si>
  <si>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</si>
  <si>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</si>
  <si>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</si>
  <si>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</si>
  <si>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</si>
  <si>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</si>
  <si>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</si>
  <si>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</si>
  <si>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</si>
  <si>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</si>
  <si>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</si>
  <si>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</si>
  <si>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</si>
  <si>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</si>
  <si>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</si>
  <si>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</si>
  <si>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</si>
  <si>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</si>
  <si>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</si>
  <si>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</si>
  <si>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</si>
  <si>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</si>
  <si>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</si>
  <si>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</si>
  <si>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</si>
  <si>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</si>
  <si>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</si>
  <si>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</si>
  <si>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</si>
  <si>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</si>
  <si>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</si>
  <si>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</si>
  <si>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</si>
  <si>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</si>
  <si>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</si>
  <si>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</si>
  <si>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</si>
  <si>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</si>
  <si>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</si>
  <si>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</si>
  <si>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</si>
  <si>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</si>
  <si>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</si>
  <si>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</si>
  <si>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</si>
  <si>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</si>
  <si>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</si>
  <si>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</si>
  <si>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</si>
  <si>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</si>
  <si>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</si>
  <si>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</si>
  <si>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</si>
  <si>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</si>
  <si>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</si>
  <si>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</si>
  <si>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</si>
  <si>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</si>
  <si>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</si>
  <si>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</si>
  <si>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</si>
  <si>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</si>
  <si>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</si>
  <si>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</si>
  <si>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</si>
  <si>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</si>
  <si>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</si>
  <si>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</si>
  <si>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</si>
  <si>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</si>
  <si>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</si>
  <si>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</si>
  <si>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</si>
  <si>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</si>
  <si>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</si>
  <si>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</si>
  <si>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</si>
  <si>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</si>
  <si>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</si>
  <si>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</si>
  <si>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</si>
  <si>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</si>
  <si>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</si>
  <si>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</si>
  <si>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</si>
  <si>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</si>
  <si>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</si>
  <si>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</si>
  <si>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</si>
  <si>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</si>
  <si>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</si>
  <si>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</si>
  <si>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</si>
  <si>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</si>
  <si>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</si>
  <si>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</si>
  <si>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</si>
  <si>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</si>
  <si>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</si>
  <si>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</si>
  <si>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</si>
  <si>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</si>
  <si>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</si>
  <si>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</si>
  <si>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</si>
  <si>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</si>
  <si>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</si>
  <si>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</si>
  <si>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</si>
  <si>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</si>
  <si>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</si>
  <si>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</si>
  <si>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</si>
  <si>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</si>
  <si>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</si>
  <si>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</si>
  <si>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</si>
  <si>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</si>
  <si>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</si>
  <si>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</si>
  <si>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</si>
  <si>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</si>
  <si>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</si>
  <si>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</si>
  <si>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</si>
  <si>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</si>
  <si>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</si>
  <si>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</si>
  <si>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</si>
  <si>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</si>
  <si>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</si>
  <si>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</si>
  <si>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</si>
  <si>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</si>
  <si>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</si>
  <si>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</si>
  <si>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</si>
  <si>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</si>
  <si>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</si>
  <si>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</si>
  <si>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</si>
  <si>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</si>
  <si>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</si>
  <si>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</si>
  <si>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</si>
  <si>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</si>
  <si>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</si>
  <si>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</si>
  <si>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</si>
  <si>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</si>
  <si>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</si>
  <si>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</si>
  <si>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</si>
  <si>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</si>
  <si>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</si>
  <si>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</si>
  <si>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</si>
  <si>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</si>
  <si>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</si>
  <si>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</si>
  <si>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</si>
  <si>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</si>
  <si>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</si>
  <si>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</si>
  <si>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</si>
  <si>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</si>
  <si>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</si>
  <si>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</si>
  <si>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</si>
  <si>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</si>
  <si>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</si>
  <si>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</si>
  <si>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</si>
  <si>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</si>
  <si>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</si>
  <si>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</si>
  <si>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</si>
  <si>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</si>
  <si>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</si>
  <si>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</si>
  <si>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</si>
  <si>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</si>
  <si>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</si>
  <si>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</si>
  <si>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</si>
  <si>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</si>
  <si>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</si>
  <si>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</si>
  <si>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</si>
  <si>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</si>
  <si>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</si>
  <si>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</si>
  <si>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</si>
  <si>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</si>
  <si>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</si>
  <si>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</si>
  <si>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</si>
  <si>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</si>
  <si>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</si>
  <si>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</si>
  <si>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</si>
  <si>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</si>
  <si>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</si>
  <si>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</si>
  <si>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</si>
  <si>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</si>
  <si>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</si>
  <si>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</si>
  <si>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</si>
  <si>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</si>
  <si>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</si>
  <si>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</si>
  <si>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</si>
  <si>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</si>
  <si>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</si>
  <si>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</si>
  <si>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</si>
  <si>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</si>
  <si>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</si>
  <si>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</si>
  <si>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</si>
  <si>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</si>
  <si>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</si>
  <si>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</si>
  <si>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</si>
  <si>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</si>
  <si>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</si>
  <si>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</si>
  <si>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</si>
  <si>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</si>
  <si>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</si>
  <si>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</si>
  <si>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</si>
  <si>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</si>
  <si>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</si>
  <si>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</si>
  <si>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</si>
  <si>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</si>
  <si>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</si>
  <si>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</si>
  <si>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</si>
  <si>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</si>
  <si>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</si>
  <si>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</si>
  <si>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</si>
  <si>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</si>
  <si>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</si>
  <si>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</si>
  <si>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</si>
  <si>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</si>
  <si>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</si>
  <si>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</si>
  <si>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</si>
  <si>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</si>
  <si>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</si>
  <si>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</si>
  <si>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</si>
  <si>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</si>
  <si>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</si>
  <si>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</si>
  <si>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</si>
  <si>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</si>
  <si>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</si>
  <si>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</si>
  <si>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</si>
  <si>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</si>
  <si>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</si>
  <si>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</si>
  <si>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</si>
  <si>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</si>
  <si>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</si>
  <si>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</si>
  <si>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</si>
  <si>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</si>
  <si>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</si>
  <si>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</si>
  <si>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</si>
  <si>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</si>
  <si>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</si>
  <si>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</si>
  <si>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</si>
  <si>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</si>
  <si>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</si>
  <si>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</si>
  <si>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</si>
  <si>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</si>
  <si>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</si>
  <si>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</si>
  <si>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</si>
  <si>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</si>
  <si>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</si>
  <si>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</si>
  <si>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</si>
  <si>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</si>
  <si>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</si>
  <si>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</si>
  <si>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</si>
  <si>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</si>
  <si>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</si>
  <si>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</si>
  <si>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</si>
  <si>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</si>
  <si>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</si>
  <si>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</si>
  <si>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</si>
  <si>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</si>
  <si>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</si>
  <si>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</si>
  <si>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</si>
  <si>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</si>
  <si>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</si>
  <si>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</si>
  <si>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</si>
  <si>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</si>
  <si>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</si>
  <si>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</si>
  <si>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</si>
  <si>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</si>
  <si>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</si>
  <si>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</si>
  <si>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</si>
  <si>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</si>
  <si>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</si>
  <si>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</si>
  <si>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</si>
  <si>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</si>
  <si>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</si>
  <si>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</si>
  <si>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</si>
  <si>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</si>
  <si>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</si>
  <si>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</si>
  <si>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</si>
  <si>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</si>
  <si>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</si>
  <si>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</si>
  <si>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</si>
  <si>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</si>
  <si>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</si>
  <si>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</si>
  <si>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</si>
  <si>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</si>
  <si>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</si>
  <si>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</si>
  <si>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</si>
  <si>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</si>
  <si>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</si>
  <si>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</si>
  <si>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</si>
  <si>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</si>
  <si>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</si>
  <si>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</si>
  <si>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</si>
  <si>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</si>
  <si>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</si>
  <si>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</si>
  <si>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</si>
  <si>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</si>
  <si>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</si>
  <si>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</si>
  <si>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</si>
  <si>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</si>
  <si>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</si>
  <si>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</si>
  <si>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</si>
  <si>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</si>
  <si>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</si>
  <si>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</si>
  <si>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</si>
  <si>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</si>
  <si>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</si>
  <si>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</si>
  <si>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</si>
  <si>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</si>
  <si>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</si>
  <si>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</si>
  <si>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</si>
  <si>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</si>
  <si>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</si>
  <si>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</si>
  <si>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</si>
  <si>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</si>
  <si>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</si>
  <si>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</si>
  <si>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</si>
  <si>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</si>
  <si>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</si>
  <si>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</si>
  <si>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</si>
  <si>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</si>
  <si>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</si>
  <si>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</si>
  <si>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</si>
  <si>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</si>
  <si>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</si>
  <si>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</si>
  <si>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</si>
  <si>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</si>
  <si>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</si>
  <si>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</si>
  <si>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</si>
  <si>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</si>
  <si>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</si>
  <si>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</si>
  <si>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</si>
  <si>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</si>
  <si>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</si>
  <si>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</si>
  <si>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</si>
  <si>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</si>
  <si>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</si>
  <si>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</si>
  <si>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</si>
  <si>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</si>
  <si>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</si>
  <si>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</si>
  <si>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</si>
  <si>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</si>
  <si>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</si>
  <si>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</si>
  <si>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</si>
  <si>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</si>
  <si>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</si>
  <si>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</si>
  <si>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</si>
  <si>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</si>
  <si>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</si>
  <si>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</si>
  <si>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</si>
  <si>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</si>
  <si>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</si>
  <si>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</si>
  <si>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</si>
  <si>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</si>
  <si>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</si>
  <si>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</si>
  <si>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</si>
  <si>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</si>
  <si>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</si>
  <si>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</si>
  <si>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</si>
  <si>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</si>
  <si>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</si>
  <si>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</si>
  <si>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</si>
  <si>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</si>
  <si>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</si>
  <si>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</si>
  <si>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</si>
  <si>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</si>
  <si>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</si>
  <si>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</si>
  <si>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</si>
  <si>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</si>
  <si>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</si>
  <si>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</si>
  <si>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</si>
  <si>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</si>
  <si>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</si>
  <si>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</si>
  <si>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</si>
  <si>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</si>
  <si>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</si>
  <si>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</si>
  <si>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</si>
  <si>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</si>
  <si>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</si>
  <si>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</si>
  <si>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</si>
  <si>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</si>
  <si>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</si>
  <si>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</si>
  <si>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</si>
  <si>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</si>
  <si>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</si>
  <si>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</si>
  <si>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</si>
  <si>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</si>
  <si>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</si>
  <si>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</si>
  <si>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</si>
  <si>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</si>
  <si>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</si>
  <si>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</si>
  <si>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</si>
  <si>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</si>
  <si>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</si>
  <si>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</si>
  <si>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</si>
  <si>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</si>
  <si>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</si>
  <si>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</si>
  <si>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</si>
  <si>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</si>
  <si>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</si>
  <si>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</si>
  <si>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</si>
  <si>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</si>
  <si>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</si>
  <si>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</si>
  <si>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</si>
  <si>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</si>
  <si>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</si>
  <si>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</si>
  <si>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</si>
  <si>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</si>
  <si>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</si>
  <si>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</si>
  <si>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</si>
  <si>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</si>
  <si>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</si>
  <si>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</si>
  <si>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</si>
  <si>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</si>
  <si>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</si>
  <si>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</si>
  <si>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</si>
  <si>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</si>
  <si>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</si>
  <si>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</si>
  <si>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</si>
  <si>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</si>
  <si>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</si>
  <si>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</si>
  <si>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</si>
  <si>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</si>
  <si>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</si>
  <si>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</si>
  <si>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</si>
  <si>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</si>
  <si>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</si>
  <si>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</si>
  <si>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</si>
  <si>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</si>
  <si>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</si>
  <si>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</si>
  <si>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</si>
  <si>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</si>
  <si>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</si>
  <si>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</si>
  <si>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</si>
  <si>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</si>
  <si>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</si>
  <si>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</si>
  <si>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</si>
  <si>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</si>
  <si>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</si>
  <si>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</si>
  <si>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</si>
  <si>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</si>
  <si>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</si>
  <si>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</si>
  <si>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</si>
  <si>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</si>
  <si>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</si>
  <si>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</si>
  <si>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</si>
  <si>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</si>
  <si>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</si>
  <si>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</si>
  <si>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</si>
  <si>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</si>
  <si>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</si>
  <si>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</si>
  <si>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</si>
  <si>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</si>
  <si>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</si>
  <si>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</si>
  <si>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</si>
  <si>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</si>
  <si>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</si>
  <si>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</si>
  <si>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</si>
  <si>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</si>
  <si>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</si>
  <si>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</si>
  <si>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</si>
  <si>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</si>
  <si>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</si>
  <si>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</si>
  <si>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</si>
  <si>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</si>
  <si>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</si>
  <si>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</si>
  <si>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</si>
  <si>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</si>
  <si>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</si>
  <si>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</si>
  <si>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</si>
  <si>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</si>
  <si>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</si>
  <si>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</si>
  <si>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</si>
  <si>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</si>
  <si>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</si>
  <si>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</si>
  <si>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</si>
  <si>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</si>
  <si>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</si>
  <si>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</si>
  <si>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</si>
  <si>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</si>
  <si>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</si>
  <si>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</si>
  <si>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</si>
  <si>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ST_new</t>
  </si>
  <si>
    <t>Gender_new</t>
  </si>
  <si>
    <t>Education_new</t>
  </si>
  <si>
    <t>Customer Lifetime Value_new</t>
  </si>
  <si>
    <t>Total Claim Amount_new</t>
  </si>
  <si>
    <t>Policy Type_new</t>
  </si>
  <si>
    <t>Personal</t>
  </si>
  <si>
    <t>Suma Customer Lifetime Value</t>
  </si>
  <si>
    <t>Average Customer Lifetime Value</t>
  </si>
  <si>
    <t>Corporate</t>
  </si>
  <si>
    <t>Number of Customer Lifetime Value records</t>
  </si>
  <si>
    <t>Customers with Monthly Premium above 100</t>
  </si>
  <si>
    <t>Maximum Customer Lifetime Value</t>
  </si>
  <si>
    <t>Minimum Customer Lifetime Value</t>
  </si>
  <si>
    <t>Monthly Premium Classification</t>
  </si>
  <si>
    <t>Customer to search</t>
  </si>
  <si>
    <t>Special</t>
  </si>
  <si>
    <t>Customer Lifetime Value found</t>
  </si>
  <si>
    <t>Customer and State</t>
  </si>
  <si>
    <t>Analysis Date</t>
  </si>
  <si>
    <t>Analysis Date and Time</t>
  </si>
  <si>
    <t>Rounded Total Claim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</si>
</sst>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14" fontId="0" fillId="0" borderId="1" xfId="0" applyNumberFormat="1" applyBorder="1" applyAlignment="1">
      <alignment horizontal="right"/>
    </xf>
    <xf numFmtId="22" fontId="0" fillId="0" borderId="1" xfId="0" applyNumberFormat="1" applyBorder="1" applyAlignment="1">
      <alignment horizontal="right"/>
    </xf>
    <xf numFmtId="0" fontId="2" fillId="3" borderId="0" xfId="0" applyFont="1" applyFill="1"/>
    <xf numFmtId="14" fontId="2" fillId="3" borderId="0" xfId="0" applyNumberFormat="1" applyFont="1" applyFill="1"/>
    <xf numFmtId="0" fontId="2" fillId="3" borderId="1" xfId="0" applyFon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6C482-14D1-4A25-9E3F-653B481962D8}">
  <dimension ref="A1:O1072"/>
  <sheetViews>
    <sheetView tabSelected="1" topLeftCell="G1" zoomScale="97" workbookViewId="0">
      <selection activeCell="N8" sqref="N8"/>
    </sheetView>
  </sheetViews>
  <sheetFormatPr defaultRowHeight="14.5" x14ac:dyDescent="0.35"/>
  <cols>
    <col min="5" max="5" width="26" bestFit="1" customWidth="1"/>
    <col min="6" max="6" width="7" bestFit="1" customWidth="1"/>
    <col min="7" max="7" width="20.453125" bestFit="1" customWidth="1"/>
    <col min="8" max="8" width="22.1796875" bestFit="1" customWidth="1"/>
    <col min="10" max="10" width="12.54296875" customWidth="1"/>
    <col min="11" max="11" width="22.1796875" bestFit="1" customWidth="1"/>
    <col min="12" max="12" width="10.54296875" customWidth="1"/>
    <col min="14" max="14" width="37.81640625" bestFit="1" customWidth="1"/>
    <col min="15" max="15" width="19.7265625" bestFit="1" customWidth="1"/>
  </cols>
  <sheetData>
    <row r="1" spans="1:15" x14ac:dyDescent="0.35">
      <c r="A1" s="9" t="s">
        <v>2</v>
      </c>
      <c r="B1" s="9" t="s">
        <v>1096</v>
      </c>
      <c r="C1" s="9" t="s">
        <v>1097</v>
      </c>
      <c r="D1" s="9" t="s">
        <v>1098</v>
      </c>
      <c r="E1" s="9" t="s">
        <v>1099</v>
      </c>
      <c r="F1" s="9" t="s">
        <v>3</v>
      </c>
      <c r="G1" s="9" t="s">
        <v>0</v>
      </c>
      <c r="H1" s="10" t="s">
        <v>4</v>
      </c>
      <c r="I1" s="9" t="s">
        <v>1101</v>
      </c>
      <c r="J1" s="9" t="s">
        <v>5</v>
      </c>
      <c r="K1" s="9" t="s">
        <v>1100</v>
      </c>
      <c r="L1" s="9" t="s">
        <v>6</v>
      </c>
    </row>
    <row r="2" spans="1:15" x14ac:dyDescent="0.35">
      <c r="A2" t="s">
        <v>7</v>
      </c>
      <c r="B2" t="s">
        <v>8</v>
      </c>
      <c r="C2" t="s">
        <v>9</v>
      </c>
      <c r="D2" t="s">
        <v>10</v>
      </c>
      <c r="E2" s="3">
        <v>0</v>
      </c>
      <c r="F2">
        <v>0</v>
      </c>
      <c r="G2">
        <v>1000</v>
      </c>
      <c r="H2" s="1">
        <v>0</v>
      </c>
      <c r="I2" s="1" t="s">
        <v>1102</v>
      </c>
      <c r="J2" t="s">
        <v>11</v>
      </c>
      <c r="K2" s="2">
        <v>2.7049340000000002</v>
      </c>
      <c r="L2" s="1">
        <v>35002.7049340046</v>
      </c>
    </row>
    <row r="3" spans="1:15" x14ac:dyDescent="0.35">
      <c r="A3" t="s">
        <v>12</v>
      </c>
      <c r="B3" t="s">
        <v>28</v>
      </c>
      <c r="C3" t="s">
        <v>13</v>
      </c>
      <c r="D3" t="s">
        <v>14</v>
      </c>
      <c r="E3" s="3">
        <v>697954</v>
      </c>
      <c r="F3">
        <v>0</v>
      </c>
      <c r="G3">
        <v>94</v>
      </c>
      <c r="H3" s="1">
        <v>0</v>
      </c>
      <c r="I3" s="1" t="s">
        <v>1102</v>
      </c>
      <c r="J3" t="s">
        <v>11</v>
      </c>
      <c r="K3" s="2">
        <v>1131.464935</v>
      </c>
      <c r="L3" s="1">
        <v>36131.464935000004</v>
      </c>
      <c r="N3" s="11" t="s">
        <v>1103</v>
      </c>
      <c r="O3" s="4">
        <f>SUM(E2:E1072)</f>
        <v>847661200</v>
      </c>
    </row>
    <row r="4" spans="1:15" x14ac:dyDescent="0.35">
      <c r="A4" t="s">
        <v>15</v>
      </c>
      <c r="B4" t="s">
        <v>16</v>
      </c>
      <c r="C4" t="s">
        <v>13</v>
      </c>
      <c r="D4" t="s">
        <v>14</v>
      </c>
      <c r="E4" s="3">
        <v>1288743</v>
      </c>
      <c r="F4">
        <v>48767</v>
      </c>
      <c r="G4">
        <v>108</v>
      </c>
      <c r="H4" s="1">
        <v>0</v>
      </c>
      <c r="I4" s="1" t="s">
        <v>1102</v>
      </c>
      <c r="J4" t="s">
        <v>17</v>
      </c>
      <c r="K4" s="2">
        <v>566.47224700000004</v>
      </c>
      <c r="L4" s="1">
        <v>35566.472247002297</v>
      </c>
      <c r="N4" s="11" t="s">
        <v>1104</v>
      </c>
      <c r="O4" s="4">
        <f>AVERAGE(E2:E1072)</f>
        <v>791467.04014939314</v>
      </c>
    </row>
    <row r="5" spans="1:15" x14ac:dyDescent="0.35">
      <c r="A5" t="s">
        <v>18</v>
      </c>
      <c r="B5" t="s">
        <v>1</v>
      </c>
      <c r="C5" t="s">
        <v>19</v>
      </c>
      <c r="D5" t="s">
        <v>14</v>
      </c>
      <c r="E5" s="3">
        <v>764586</v>
      </c>
      <c r="F5">
        <v>0</v>
      </c>
      <c r="G5">
        <v>106</v>
      </c>
      <c r="H5" s="1">
        <v>0</v>
      </c>
      <c r="I5" s="1" t="s">
        <v>1105</v>
      </c>
      <c r="J5" t="s">
        <v>20</v>
      </c>
      <c r="K5" s="2">
        <v>529.88134400000001</v>
      </c>
      <c r="L5" s="1">
        <v>35529.8813440046</v>
      </c>
      <c r="N5" s="11" t="s">
        <v>1106</v>
      </c>
      <c r="O5" s="5">
        <f>COUNT(E2:E1072)</f>
        <v>1071</v>
      </c>
    </row>
    <row r="6" spans="1:15" x14ac:dyDescent="0.35">
      <c r="A6" t="s">
        <v>21</v>
      </c>
      <c r="B6" t="s">
        <v>8</v>
      </c>
      <c r="C6" t="s">
        <v>19</v>
      </c>
      <c r="D6" t="s">
        <v>22</v>
      </c>
      <c r="E6" s="3">
        <v>536308</v>
      </c>
      <c r="F6">
        <v>36357</v>
      </c>
      <c r="G6">
        <v>68</v>
      </c>
      <c r="H6" s="1">
        <v>0</v>
      </c>
      <c r="I6" s="1" t="s">
        <v>1102</v>
      </c>
      <c r="J6" t="s">
        <v>11</v>
      </c>
      <c r="K6" s="2">
        <v>17.269323</v>
      </c>
      <c r="L6" s="1">
        <v>35017.269322997701</v>
      </c>
      <c r="N6" s="11" t="s">
        <v>1107</v>
      </c>
      <c r="O6" s="5">
        <f>COUNTIF(G2:G1072,"&gt;100")</f>
        <v>367</v>
      </c>
    </row>
    <row r="7" spans="1:15" x14ac:dyDescent="0.35">
      <c r="A7" t="s">
        <v>23</v>
      </c>
      <c r="B7" t="s">
        <v>24</v>
      </c>
      <c r="C7" t="s">
        <v>13</v>
      </c>
      <c r="D7" t="s">
        <v>14</v>
      </c>
      <c r="E7" s="3">
        <v>825630</v>
      </c>
      <c r="F7">
        <v>62902</v>
      </c>
      <c r="G7">
        <v>69</v>
      </c>
      <c r="H7" s="1">
        <v>0</v>
      </c>
      <c r="I7" s="1" t="s">
        <v>1102</v>
      </c>
      <c r="J7" t="s">
        <v>17</v>
      </c>
      <c r="K7" s="2">
        <v>159.38304199999999</v>
      </c>
      <c r="L7" s="1">
        <v>35159.3830420023</v>
      </c>
      <c r="N7" s="11" t="s">
        <v>1108</v>
      </c>
      <c r="O7" s="4">
        <f>MAX(E2:E1072)</f>
        <v>5816655</v>
      </c>
    </row>
    <row r="8" spans="1:15" x14ac:dyDescent="0.35">
      <c r="A8" t="s">
        <v>25</v>
      </c>
      <c r="B8" t="s">
        <v>24</v>
      </c>
      <c r="C8" t="s">
        <v>13</v>
      </c>
      <c r="D8" t="s">
        <v>26</v>
      </c>
      <c r="E8" s="3">
        <v>538090</v>
      </c>
      <c r="F8">
        <v>55350</v>
      </c>
      <c r="G8">
        <v>67</v>
      </c>
      <c r="H8" s="1">
        <v>0</v>
      </c>
      <c r="I8" s="1" t="s">
        <v>1105</v>
      </c>
      <c r="J8" t="s">
        <v>11</v>
      </c>
      <c r="K8" s="2">
        <v>321.60000000000002</v>
      </c>
      <c r="L8" s="1">
        <v>35321.599999999999</v>
      </c>
      <c r="N8" s="11" t="s">
        <v>1109</v>
      </c>
      <c r="O8" s="4">
        <f>MIN(E2:E1072)</f>
        <v>0</v>
      </c>
    </row>
    <row r="9" spans="1:15" x14ac:dyDescent="0.35">
      <c r="A9" t="s">
        <v>27</v>
      </c>
      <c r="B9" t="s">
        <v>28</v>
      </c>
      <c r="C9" t="s">
        <v>19</v>
      </c>
      <c r="D9" t="s">
        <v>10</v>
      </c>
      <c r="E9" s="3">
        <v>721610</v>
      </c>
      <c r="F9">
        <v>0</v>
      </c>
      <c r="G9">
        <v>101</v>
      </c>
      <c r="H9" s="1">
        <v>0</v>
      </c>
      <c r="I9" s="1" t="s">
        <v>1105</v>
      </c>
      <c r="J9" t="s">
        <v>11</v>
      </c>
      <c r="K9" s="2">
        <v>363.02967999999998</v>
      </c>
      <c r="L9" s="1">
        <v>35363.02968</v>
      </c>
      <c r="N9" s="11" t="s">
        <v>1110</v>
      </c>
      <c r="O9" s="6" t="str">
        <f>IF(G2&gt;100,"Above 100","100 or below")</f>
        <v>Above 100</v>
      </c>
    </row>
    <row r="10" spans="1:15" x14ac:dyDescent="0.35">
      <c r="A10" t="s">
        <v>29</v>
      </c>
      <c r="B10" t="s">
        <v>24</v>
      </c>
      <c r="C10" t="s">
        <v>19</v>
      </c>
      <c r="D10" t="s">
        <v>14</v>
      </c>
      <c r="E10" s="3">
        <v>2412750</v>
      </c>
      <c r="F10">
        <v>14072</v>
      </c>
      <c r="G10">
        <v>71</v>
      </c>
      <c r="H10" s="1">
        <v>0</v>
      </c>
      <c r="I10" s="1" t="s">
        <v>1105</v>
      </c>
      <c r="J10" t="s">
        <v>11</v>
      </c>
      <c r="K10" s="2">
        <v>511.2</v>
      </c>
      <c r="L10" s="1">
        <v>35511.199999999997</v>
      </c>
      <c r="N10" s="11" t="s">
        <v>1111</v>
      </c>
      <c r="O10" s="5" t="s">
        <v>12</v>
      </c>
    </row>
    <row r="11" spans="1:15" x14ac:dyDescent="0.35">
      <c r="A11" t="s">
        <v>30</v>
      </c>
      <c r="B11" t="s">
        <v>24</v>
      </c>
      <c r="C11" t="s">
        <v>13</v>
      </c>
      <c r="D11" t="s">
        <v>26</v>
      </c>
      <c r="E11" s="3">
        <v>738818</v>
      </c>
      <c r="F11">
        <v>28812</v>
      </c>
      <c r="G11">
        <v>93</v>
      </c>
      <c r="H11" s="1">
        <v>0</v>
      </c>
      <c r="I11" s="1" t="s">
        <v>1112</v>
      </c>
      <c r="J11" t="s">
        <v>11</v>
      </c>
      <c r="K11" s="2">
        <v>425.52783399999998</v>
      </c>
      <c r="L11" s="1">
        <v>35425.527834004599</v>
      </c>
      <c r="N11" s="11" t="s">
        <v>1113</v>
      </c>
      <c r="O11" s="5">
        <f>VLOOKUP(O10,$A$2:$L$1072,5,FALSE)</f>
        <v>697954</v>
      </c>
    </row>
    <row r="12" spans="1:15" x14ac:dyDescent="0.35">
      <c r="A12" t="s">
        <v>31</v>
      </c>
      <c r="B12" t="s">
        <v>1</v>
      </c>
      <c r="C12" t="s">
        <v>19</v>
      </c>
      <c r="D12" t="s">
        <v>26</v>
      </c>
      <c r="E12" s="3">
        <v>473899</v>
      </c>
      <c r="F12">
        <v>0</v>
      </c>
      <c r="G12">
        <v>67</v>
      </c>
      <c r="H12" s="1">
        <v>0</v>
      </c>
      <c r="I12" s="1" t="s">
        <v>1102</v>
      </c>
      <c r="J12" t="s">
        <v>11</v>
      </c>
      <c r="K12" s="2">
        <v>482.4</v>
      </c>
      <c r="L12" s="1">
        <v>35482.400000000001</v>
      </c>
      <c r="N12" s="11" t="s">
        <v>1114</v>
      </c>
      <c r="O12" s="5" t="str">
        <f>_xlfn.CONCAT(A2," - ",B2)</f>
        <v>RB50392 - Washington</v>
      </c>
    </row>
    <row r="13" spans="1:15" x14ac:dyDescent="0.35">
      <c r="A13" t="s">
        <v>32</v>
      </c>
      <c r="B13" t="s">
        <v>1</v>
      </c>
      <c r="C13" t="s">
        <v>9</v>
      </c>
      <c r="D13" t="s">
        <v>26</v>
      </c>
      <c r="E13" s="3">
        <v>819720</v>
      </c>
      <c r="F13">
        <v>0</v>
      </c>
      <c r="G13">
        <v>110</v>
      </c>
      <c r="H13" s="1">
        <v>0</v>
      </c>
      <c r="I13" s="1" t="s">
        <v>1102</v>
      </c>
      <c r="J13" t="s">
        <v>20</v>
      </c>
      <c r="K13" s="2">
        <v>528</v>
      </c>
      <c r="L13" s="1">
        <v>35528</v>
      </c>
      <c r="N13" s="11" t="s">
        <v>1115</v>
      </c>
      <c r="O13" s="7">
        <f ca="1">TODAY()</f>
        <v>46275</v>
      </c>
    </row>
    <row r="14" spans="1:15" x14ac:dyDescent="0.35">
      <c r="A14" t="s">
        <v>33</v>
      </c>
      <c r="B14" t="s">
        <v>1</v>
      </c>
      <c r="C14" t="s">
        <v>9</v>
      </c>
      <c r="D14" t="s">
        <v>10</v>
      </c>
      <c r="E14" s="3">
        <v>879880</v>
      </c>
      <c r="F14">
        <v>77026</v>
      </c>
      <c r="G14">
        <v>110</v>
      </c>
      <c r="H14" s="1">
        <v>36557</v>
      </c>
      <c r="I14" s="1" t="s">
        <v>1105</v>
      </c>
      <c r="J14" t="s">
        <v>11</v>
      </c>
      <c r="K14" s="2">
        <v>472.02973700000001</v>
      </c>
      <c r="L14" s="1">
        <v>35472.029737002304</v>
      </c>
      <c r="N14" s="11" t="s">
        <v>1116</v>
      </c>
      <c r="O14" s="8">
        <f ca="1">NOW()</f>
        <v>46275.668959374998</v>
      </c>
    </row>
    <row r="15" spans="1:15" x14ac:dyDescent="0.35">
      <c r="A15" t="s">
        <v>34</v>
      </c>
      <c r="B15" t="s">
        <v>28</v>
      </c>
      <c r="C15" t="s">
        <v>9</v>
      </c>
      <c r="D15" t="s">
        <v>22</v>
      </c>
      <c r="E15" s="3">
        <v>881902</v>
      </c>
      <c r="F15">
        <v>99845</v>
      </c>
      <c r="G15">
        <v>110</v>
      </c>
      <c r="H15" s="1">
        <v>36526</v>
      </c>
      <c r="I15" s="1" t="s">
        <v>1105</v>
      </c>
      <c r="J15" t="s">
        <v>20</v>
      </c>
      <c r="K15" s="2">
        <v>528</v>
      </c>
      <c r="L15" s="1">
        <v>35528</v>
      </c>
      <c r="N15" s="11" t="s">
        <v>1117</v>
      </c>
      <c r="O15" s="4">
        <f>ROUND(K2,2)</f>
        <v>2.7</v>
      </c>
    </row>
    <row r="16" spans="1:15" x14ac:dyDescent="0.35">
      <c r="A16" t="s">
        <v>35</v>
      </c>
      <c r="B16" t="s">
        <v>1</v>
      </c>
      <c r="C16" t="s">
        <v>9</v>
      </c>
      <c r="D16" t="s">
        <v>26</v>
      </c>
      <c r="E16" s="3">
        <v>538443</v>
      </c>
      <c r="F16">
        <v>83689</v>
      </c>
      <c r="G16">
        <v>70</v>
      </c>
      <c r="H16" s="1">
        <v>36557</v>
      </c>
      <c r="I16" s="1" t="s">
        <v>1105</v>
      </c>
      <c r="J16" t="s">
        <v>11</v>
      </c>
      <c r="K16" s="2">
        <v>307.13913200000002</v>
      </c>
      <c r="L16" s="1">
        <v>35307.139132002303</v>
      </c>
    </row>
    <row r="17" spans="1:12" x14ac:dyDescent="0.35">
      <c r="A17" t="s">
        <v>36</v>
      </c>
      <c r="B17" t="s">
        <v>24</v>
      </c>
      <c r="C17" t="s">
        <v>9</v>
      </c>
      <c r="D17" t="s">
        <v>14</v>
      </c>
      <c r="E17" s="3">
        <v>746314</v>
      </c>
      <c r="F17">
        <v>24599</v>
      </c>
      <c r="G17">
        <v>64</v>
      </c>
      <c r="H17" s="1">
        <v>36526</v>
      </c>
      <c r="I17" s="1" t="s">
        <v>1105</v>
      </c>
      <c r="J17" t="s">
        <v>11</v>
      </c>
      <c r="K17" s="2">
        <v>42.920271</v>
      </c>
      <c r="L17" s="1">
        <v>35042.920270995397</v>
      </c>
    </row>
    <row r="18" spans="1:12" x14ac:dyDescent="0.35">
      <c r="A18" t="s">
        <v>37</v>
      </c>
      <c r="B18" t="s">
        <v>16</v>
      </c>
      <c r="C18" t="s">
        <v>9</v>
      </c>
      <c r="D18" t="s">
        <v>22</v>
      </c>
      <c r="E18" s="3">
        <v>256687</v>
      </c>
      <c r="F18">
        <v>25049</v>
      </c>
      <c r="G18">
        <v>67</v>
      </c>
      <c r="H18" s="1">
        <v>0</v>
      </c>
      <c r="I18" s="1" t="s">
        <v>1102</v>
      </c>
      <c r="J18" t="s">
        <v>17</v>
      </c>
      <c r="K18" s="2">
        <v>454.24509799999998</v>
      </c>
      <c r="L18" s="1">
        <v>35454.2450979977</v>
      </c>
    </row>
    <row r="19" spans="1:12" x14ac:dyDescent="0.35">
      <c r="A19" t="s">
        <v>38</v>
      </c>
      <c r="B19" t="s">
        <v>1</v>
      </c>
      <c r="C19" t="s">
        <v>9</v>
      </c>
      <c r="D19" t="s">
        <v>26</v>
      </c>
      <c r="E19" s="3">
        <v>394524</v>
      </c>
      <c r="F19">
        <v>28855</v>
      </c>
      <c r="G19">
        <v>101</v>
      </c>
      <c r="H19" s="1">
        <v>0</v>
      </c>
      <c r="I19" s="1" t="s">
        <v>1102</v>
      </c>
      <c r="J19" t="s">
        <v>20</v>
      </c>
      <c r="K19" s="2">
        <v>647.44203100000004</v>
      </c>
      <c r="L19" s="1">
        <v>35647.4420309954</v>
      </c>
    </row>
    <row r="20" spans="1:12" x14ac:dyDescent="0.35">
      <c r="A20" t="s">
        <v>39</v>
      </c>
      <c r="B20" t="s">
        <v>24</v>
      </c>
      <c r="C20" t="s">
        <v>9</v>
      </c>
      <c r="D20" t="s">
        <v>26</v>
      </c>
      <c r="E20" s="3">
        <v>571033</v>
      </c>
      <c r="F20">
        <v>51148</v>
      </c>
      <c r="G20">
        <v>72</v>
      </c>
      <c r="H20" s="1">
        <v>0</v>
      </c>
      <c r="I20" s="1" t="s">
        <v>1102</v>
      </c>
      <c r="J20" t="s">
        <v>11</v>
      </c>
      <c r="K20" s="2">
        <v>308.98166400000002</v>
      </c>
      <c r="L20" s="1">
        <v>35308.981664004597</v>
      </c>
    </row>
    <row r="21" spans="1:12" x14ac:dyDescent="0.35">
      <c r="A21" t="s">
        <v>40</v>
      </c>
      <c r="B21" t="s">
        <v>1</v>
      </c>
      <c r="C21" t="s">
        <v>9</v>
      </c>
      <c r="D21" t="s">
        <v>22</v>
      </c>
      <c r="E21" s="3">
        <v>816262</v>
      </c>
      <c r="F21">
        <v>66140</v>
      </c>
      <c r="G21">
        <v>101</v>
      </c>
      <c r="H21" s="1">
        <v>0</v>
      </c>
      <c r="I21" s="1" t="s">
        <v>1105</v>
      </c>
      <c r="J21" t="s">
        <v>11</v>
      </c>
      <c r="K21" s="2">
        <v>484.8</v>
      </c>
      <c r="L21" s="1">
        <v>35484.800000000003</v>
      </c>
    </row>
    <row r="22" spans="1:12" x14ac:dyDescent="0.35">
      <c r="A22" t="s">
        <v>41</v>
      </c>
      <c r="B22" t="s">
        <v>24</v>
      </c>
      <c r="C22" t="s">
        <v>9</v>
      </c>
      <c r="D22" t="s">
        <v>22</v>
      </c>
      <c r="E22" s="3">
        <v>287205</v>
      </c>
      <c r="F22">
        <v>57749</v>
      </c>
      <c r="G22">
        <v>74</v>
      </c>
      <c r="H22" s="1">
        <v>0</v>
      </c>
      <c r="I22" s="1" t="s">
        <v>1102</v>
      </c>
      <c r="J22" t="s">
        <v>17</v>
      </c>
      <c r="K22" s="2">
        <v>355.2</v>
      </c>
      <c r="L22" s="1">
        <v>35355.199999999997</v>
      </c>
    </row>
    <row r="23" spans="1:12" x14ac:dyDescent="0.35">
      <c r="A23" t="s">
        <v>42</v>
      </c>
      <c r="B23" t="s">
        <v>8</v>
      </c>
      <c r="C23" t="s">
        <v>19</v>
      </c>
      <c r="D23" t="s">
        <v>14</v>
      </c>
      <c r="E23" s="3">
        <v>617711</v>
      </c>
      <c r="F23">
        <v>61040</v>
      </c>
      <c r="G23">
        <v>79</v>
      </c>
      <c r="H23" s="1">
        <v>36526</v>
      </c>
      <c r="I23" s="1" t="s">
        <v>1102</v>
      </c>
      <c r="J23" t="s">
        <v>17</v>
      </c>
      <c r="K23" s="2">
        <v>20.382876</v>
      </c>
      <c r="L23" s="1">
        <v>35020.382875995398</v>
      </c>
    </row>
    <row r="24" spans="1:12" x14ac:dyDescent="0.35">
      <c r="A24" t="s">
        <v>43</v>
      </c>
      <c r="B24" t="s">
        <v>28</v>
      </c>
      <c r="C24" t="s">
        <v>9</v>
      </c>
      <c r="D24" t="s">
        <v>14</v>
      </c>
      <c r="E24" s="3">
        <v>2412750</v>
      </c>
      <c r="F24">
        <v>14072</v>
      </c>
      <c r="G24">
        <v>71</v>
      </c>
      <c r="H24" s="1">
        <v>0</v>
      </c>
      <c r="I24" s="1" t="s">
        <v>1102</v>
      </c>
      <c r="J24" t="s">
        <v>11</v>
      </c>
      <c r="K24" s="2">
        <v>511.2</v>
      </c>
      <c r="L24" s="1">
        <v>35511.199999999997</v>
      </c>
    </row>
    <row r="25" spans="1:12" x14ac:dyDescent="0.35">
      <c r="A25" t="s">
        <v>44</v>
      </c>
      <c r="B25" t="s">
        <v>16</v>
      </c>
      <c r="C25" t="s">
        <v>9</v>
      </c>
      <c r="D25" t="s">
        <v>14</v>
      </c>
      <c r="E25" s="3">
        <v>245019</v>
      </c>
      <c r="F25">
        <v>0</v>
      </c>
      <c r="G25">
        <v>73</v>
      </c>
      <c r="H25" s="1">
        <v>36586</v>
      </c>
      <c r="I25" s="1" t="s">
        <v>1105</v>
      </c>
      <c r="J25" t="s">
        <v>11</v>
      </c>
      <c r="K25" s="2">
        <v>554.37676299999998</v>
      </c>
      <c r="L25" s="1">
        <v>35554.376762997701</v>
      </c>
    </row>
    <row r="26" spans="1:12" x14ac:dyDescent="0.35">
      <c r="A26" t="s">
        <v>45</v>
      </c>
      <c r="B26" t="s">
        <v>1</v>
      </c>
      <c r="C26" t="s">
        <v>9</v>
      </c>
      <c r="D26" t="s">
        <v>14</v>
      </c>
      <c r="E26" s="3">
        <v>239211</v>
      </c>
      <c r="F26">
        <v>17870</v>
      </c>
      <c r="G26">
        <v>61</v>
      </c>
      <c r="H26" s="1">
        <v>0</v>
      </c>
      <c r="I26" s="1" t="s">
        <v>1105</v>
      </c>
      <c r="J26" t="s">
        <v>11</v>
      </c>
      <c r="K26" s="2">
        <v>439.2</v>
      </c>
      <c r="L26" s="1">
        <v>35439.199999999997</v>
      </c>
    </row>
    <row r="27" spans="1:12" x14ac:dyDescent="0.35">
      <c r="A27" t="s">
        <v>46</v>
      </c>
      <c r="B27" t="s">
        <v>24</v>
      </c>
      <c r="C27" t="s">
        <v>9</v>
      </c>
      <c r="D27" t="s">
        <v>26</v>
      </c>
      <c r="E27" s="3">
        <v>580207</v>
      </c>
      <c r="F27">
        <v>97541</v>
      </c>
      <c r="G27">
        <v>72</v>
      </c>
      <c r="H27" s="1">
        <v>0</v>
      </c>
      <c r="I27" s="1" t="s">
        <v>1102</v>
      </c>
      <c r="J27" t="s">
        <v>11</v>
      </c>
      <c r="K27" s="2">
        <v>389.18500599999999</v>
      </c>
      <c r="L27" s="1">
        <v>35389.185005995401</v>
      </c>
    </row>
    <row r="28" spans="1:12" x14ac:dyDescent="0.35">
      <c r="A28" t="s">
        <v>47</v>
      </c>
      <c r="B28" t="s">
        <v>1</v>
      </c>
      <c r="C28" t="s">
        <v>9</v>
      </c>
      <c r="D28" t="s">
        <v>14</v>
      </c>
      <c r="E28" s="3">
        <v>394637</v>
      </c>
      <c r="F28">
        <v>0</v>
      </c>
      <c r="G28">
        <v>111</v>
      </c>
      <c r="H28" s="1">
        <v>0</v>
      </c>
      <c r="I28" s="1" t="s">
        <v>1102</v>
      </c>
      <c r="J28" t="s">
        <v>11</v>
      </c>
      <c r="K28" s="2">
        <v>799.2</v>
      </c>
      <c r="L28" s="1">
        <v>35799.199999999997</v>
      </c>
    </row>
    <row r="29" spans="1:12" x14ac:dyDescent="0.35">
      <c r="A29" t="s">
        <v>48</v>
      </c>
      <c r="B29" t="s">
        <v>8</v>
      </c>
      <c r="C29" t="s">
        <v>19</v>
      </c>
      <c r="D29" t="s">
        <v>26</v>
      </c>
      <c r="E29" s="3">
        <v>916206</v>
      </c>
      <c r="F29">
        <v>29723</v>
      </c>
      <c r="G29">
        <v>80</v>
      </c>
      <c r="H29" s="1">
        <v>0</v>
      </c>
      <c r="I29" s="1" t="s">
        <v>1102</v>
      </c>
      <c r="J29" t="s">
        <v>11</v>
      </c>
      <c r="K29" s="2">
        <v>20.985105000000001</v>
      </c>
      <c r="L29" s="1">
        <v>35020.985105</v>
      </c>
    </row>
    <row r="30" spans="1:12" x14ac:dyDescent="0.35">
      <c r="A30" t="s">
        <v>49</v>
      </c>
      <c r="B30" t="s">
        <v>28</v>
      </c>
      <c r="C30" t="s">
        <v>9</v>
      </c>
      <c r="D30" t="s">
        <v>26</v>
      </c>
      <c r="E30" s="3">
        <v>1290256</v>
      </c>
      <c r="F30">
        <v>86584</v>
      </c>
      <c r="G30">
        <v>111</v>
      </c>
      <c r="H30" s="1">
        <v>36557</v>
      </c>
      <c r="I30" s="1" t="s">
        <v>1102</v>
      </c>
      <c r="J30" t="s">
        <v>11</v>
      </c>
      <c r="K30" s="2">
        <v>532.79999999999995</v>
      </c>
      <c r="L30" s="1">
        <v>35532.800000000003</v>
      </c>
    </row>
    <row r="31" spans="1:12" x14ac:dyDescent="0.35">
      <c r="A31" t="s">
        <v>50</v>
      </c>
      <c r="B31" t="s">
        <v>24</v>
      </c>
      <c r="C31" t="s">
        <v>9</v>
      </c>
      <c r="D31" t="s">
        <v>10</v>
      </c>
      <c r="E31" s="3">
        <v>323536</v>
      </c>
      <c r="F31">
        <v>75690</v>
      </c>
      <c r="G31">
        <v>80</v>
      </c>
      <c r="H31" s="1">
        <v>36526</v>
      </c>
      <c r="I31" s="1" t="s">
        <v>1102</v>
      </c>
      <c r="J31" t="s">
        <v>11</v>
      </c>
      <c r="K31" s="2">
        <v>384</v>
      </c>
      <c r="L31" s="1">
        <v>35384</v>
      </c>
    </row>
    <row r="32" spans="1:12" x14ac:dyDescent="0.35">
      <c r="A32" t="s">
        <v>51</v>
      </c>
      <c r="B32" t="s">
        <v>28</v>
      </c>
      <c r="C32" t="s">
        <v>9</v>
      </c>
      <c r="D32" t="s">
        <v>26</v>
      </c>
      <c r="E32" s="3">
        <v>245458</v>
      </c>
      <c r="F32">
        <v>23158</v>
      </c>
      <c r="G32">
        <v>63</v>
      </c>
      <c r="H32" s="1">
        <v>36526</v>
      </c>
      <c r="I32" s="1" t="s">
        <v>1102</v>
      </c>
      <c r="J32" t="s">
        <v>11</v>
      </c>
      <c r="K32" s="2">
        <v>322.29404299999999</v>
      </c>
      <c r="L32" s="1">
        <v>35322.294042997702</v>
      </c>
    </row>
    <row r="33" spans="1:12" x14ac:dyDescent="0.35">
      <c r="A33" t="s">
        <v>52</v>
      </c>
      <c r="B33" t="s">
        <v>16</v>
      </c>
      <c r="C33" t="s">
        <v>9</v>
      </c>
      <c r="D33" t="s">
        <v>22</v>
      </c>
      <c r="E33" s="3">
        <v>1897546</v>
      </c>
      <c r="F33">
        <v>65999</v>
      </c>
      <c r="G33">
        <v>237</v>
      </c>
      <c r="H33" s="1">
        <v>0</v>
      </c>
      <c r="I33" s="1" t="s">
        <v>1105</v>
      </c>
      <c r="J33" t="s">
        <v>53</v>
      </c>
      <c r="K33" s="2">
        <v>615.92776900000001</v>
      </c>
      <c r="L33" s="1">
        <v>35615.9277690046</v>
      </c>
    </row>
    <row r="34" spans="1:12" x14ac:dyDescent="0.35">
      <c r="A34" t="s">
        <v>54</v>
      </c>
      <c r="B34" t="s">
        <v>1</v>
      </c>
      <c r="C34" t="s">
        <v>9</v>
      </c>
      <c r="D34" t="s">
        <v>14</v>
      </c>
      <c r="E34" s="3">
        <v>471532</v>
      </c>
      <c r="F34">
        <v>0</v>
      </c>
      <c r="G34">
        <v>65</v>
      </c>
      <c r="H34" s="1">
        <v>0</v>
      </c>
      <c r="I34" s="1" t="s">
        <v>1102</v>
      </c>
      <c r="J34" t="s">
        <v>11</v>
      </c>
      <c r="K34" s="2">
        <v>308.15089</v>
      </c>
      <c r="L34" s="1">
        <v>35308.150889999997</v>
      </c>
    </row>
    <row r="35" spans="1:12" x14ac:dyDescent="0.35">
      <c r="A35" t="s">
        <v>55</v>
      </c>
      <c r="B35" t="s">
        <v>8</v>
      </c>
      <c r="C35" t="s">
        <v>13</v>
      </c>
      <c r="D35" t="s">
        <v>26</v>
      </c>
      <c r="E35" s="3">
        <v>473787</v>
      </c>
      <c r="F35">
        <v>0</v>
      </c>
      <c r="G35">
        <v>130</v>
      </c>
      <c r="H35" s="1">
        <v>0</v>
      </c>
      <c r="I35" s="1" t="s">
        <v>1102</v>
      </c>
      <c r="J35" t="s">
        <v>20</v>
      </c>
      <c r="K35" s="2">
        <v>23.820157999999999</v>
      </c>
      <c r="L35" s="1">
        <v>35023.820157997703</v>
      </c>
    </row>
    <row r="36" spans="1:12" x14ac:dyDescent="0.35">
      <c r="A36" t="s">
        <v>56</v>
      </c>
      <c r="B36" t="s">
        <v>24</v>
      </c>
      <c r="C36" t="s">
        <v>9</v>
      </c>
      <c r="D36" t="s">
        <v>14</v>
      </c>
      <c r="E36" s="3">
        <v>493292</v>
      </c>
      <c r="F36">
        <v>37260</v>
      </c>
      <c r="G36">
        <v>62</v>
      </c>
      <c r="H36" s="1">
        <v>0</v>
      </c>
      <c r="I36" s="1" t="s">
        <v>1105</v>
      </c>
      <c r="J36" t="s">
        <v>11</v>
      </c>
      <c r="K36" s="2">
        <v>15.437681</v>
      </c>
      <c r="L36" s="1">
        <v>35015.437680995397</v>
      </c>
    </row>
    <row r="37" spans="1:12" x14ac:dyDescent="0.35">
      <c r="A37" t="s">
        <v>57</v>
      </c>
      <c r="B37" t="s">
        <v>28</v>
      </c>
      <c r="C37" t="s">
        <v>9</v>
      </c>
      <c r="D37" t="s">
        <v>22</v>
      </c>
      <c r="E37" s="3">
        <v>574423</v>
      </c>
      <c r="F37">
        <v>68987</v>
      </c>
      <c r="G37">
        <v>71</v>
      </c>
      <c r="H37" s="1">
        <v>0</v>
      </c>
      <c r="I37" s="1" t="s">
        <v>1102</v>
      </c>
      <c r="J37" t="s">
        <v>11</v>
      </c>
      <c r="K37" s="2">
        <v>204.47514699999999</v>
      </c>
      <c r="L37" s="1">
        <v>35204.475147002297</v>
      </c>
    </row>
    <row r="38" spans="1:12" x14ac:dyDescent="0.35">
      <c r="A38" t="s">
        <v>58</v>
      </c>
      <c r="B38" t="s">
        <v>1</v>
      </c>
      <c r="C38" t="s">
        <v>9</v>
      </c>
      <c r="D38" t="s">
        <v>14</v>
      </c>
      <c r="E38" s="3">
        <v>1389174</v>
      </c>
      <c r="F38">
        <v>42305</v>
      </c>
      <c r="G38">
        <v>117</v>
      </c>
      <c r="H38" s="1">
        <v>0</v>
      </c>
      <c r="I38" s="1" t="s">
        <v>1102</v>
      </c>
      <c r="J38" t="s">
        <v>11</v>
      </c>
      <c r="K38" s="2">
        <v>561.6</v>
      </c>
      <c r="L38" s="1">
        <v>35561.599999999999</v>
      </c>
    </row>
    <row r="39" spans="1:12" x14ac:dyDescent="0.35">
      <c r="A39" t="s">
        <v>59</v>
      </c>
      <c r="B39" t="s">
        <v>24</v>
      </c>
      <c r="C39" t="s">
        <v>9</v>
      </c>
      <c r="D39" t="s">
        <v>10</v>
      </c>
      <c r="E39" s="3">
        <v>738098</v>
      </c>
      <c r="F39">
        <v>65706</v>
      </c>
      <c r="G39">
        <v>91</v>
      </c>
      <c r="H39" s="1">
        <v>0</v>
      </c>
      <c r="I39" s="1" t="s">
        <v>1102</v>
      </c>
      <c r="J39" t="s">
        <v>11</v>
      </c>
      <c r="K39" s="2">
        <v>436.8</v>
      </c>
      <c r="L39" s="1">
        <v>35436.800000000003</v>
      </c>
    </row>
    <row r="40" spans="1:12" x14ac:dyDescent="0.35">
      <c r="A40" t="s">
        <v>60</v>
      </c>
      <c r="B40" t="s">
        <v>24</v>
      </c>
      <c r="C40" t="s">
        <v>9</v>
      </c>
      <c r="D40" t="s">
        <v>14</v>
      </c>
      <c r="E40" s="3">
        <v>309003</v>
      </c>
      <c r="F40">
        <v>0</v>
      </c>
      <c r="G40">
        <v>90</v>
      </c>
      <c r="H40" s="1">
        <v>0</v>
      </c>
      <c r="I40" s="1" t="s">
        <v>1102</v>
      </c>
      <c r="J40" t="s">
        <v>17</v>
      </c>
      <c r="K40" s="2">
        <v>648</v>
      </c>
      <c r="L40" s="1">
        <v>35648</v>
      </c>
    </row>
    <row r="41" spans="1:12" x14ac:dyDescent="0.35">
      <c r="A41" t="s">
        <v>61</v>
      </c>
      <c r="B41" t="s">
        <v>28</v>
      </c>
      <c r="C41" t="s">
        <v>9</v>
      </c>
      <c r="D41" t="s">
        <v>22</v>
      </c>
      <c r="E41" s="3">
        <v>252163</v>
      </c>
      <c r="F41">
        <v>53243</v>
      </c>
      <c r="G41">
        <v>66</v>
      </c>
      <c r="H41" s="1">
        <v>36557</v>
      </c>
      <c r="I41" s="1" t="s">
        <v>1102</v>
      </c>
      <c r="J41" t="s">
        <v>11</v>
      </c>
      <c r="K41" s="2">
        <v>157.39784900000001</v>
      </c>
      <c r="L41" s="1">
        <v>35157.397849004599</v>
      </c>
    </row>
    <row r="42" spans="1:12" x14ac:dyDescent="0.35">
      <c r="A42" t="s">
        <v>62</v>
      </c>
      <c r="B42" t="s">
        <v>16</v>
      </c>
      <c r="C42" t="s">
        <v>9</v>
      </c>
      <c r="D42" t="s">
        <v>22</v>
      </c>
      <c r="E42" s="3">
        <v>265206</v>
      </c>
      <c r="F42">
        <v>0</v>
      </c>
      <c r="G42">
        <v>70</v>
      </c>
      <c r="H42" s="1">
        <v>36526</v>
      </c>
      <c r="I42" s="1" t="s">
        <v>1105</v>
      </c>
      <c r="J42" t="s">
        <v>17</v>
      </c>
      <c r="K42" s="2">
        <v>484.31853599999999</v>
      </c>
      <c r="L42" s="1">
        <v>35484.3185359954</v>
      </c>
    </row>
    <row r="43" spans="1:12" x14ac:dyDescent="0.35">
      <c r="A43" t="s">
        <v>63</v>
      </c>
      <c r="B43" t="s">
        <v>24</v>
      </c>
      <c r="C43" t="s">
        <v>9</v>
      </c>
      <c r="D43" t="s">
        <v>26</v>
      </c>
      <c r="E43" s="3">
        <v>277105</v>
      </c>
      <c r="F43">
        <v>50071</v>
      </c>
      <c r="G43">
        <v>71</v>
      </c>
      <c r="H43" s="1">
        <v>0</v>
      </c>
      <c r="I43" s="1" t="s">
        <v>1105</v>
      </c>
      <c r="J43" t="s">
        <v>17</v>
      </c>
      <c r="K43" s="2">
        <v>18.918935000000001</v>
      </c>
      <c r="L43" s="1">
        <v>35018.918935000002</v>
      </c>
    </row>
    <row r="44" spans="1:12" x14ac:dyDescent="0.35">
      <c r="A44" t="s">
        <v>64</v>
      </c>
      <c r="B44" t="s">
        <v>1</v>
      </c>
      <c r="C44" t="s">
        <v>9</v>
      </c>
      <c r="D44" t="s">
        <v>14</v>
      </c>
      <c r="E44" s="3">
        <v>393901</v>
      </c>
      <c r="F44">
        <v>60021</v>
      </c>
      <c r="G44">
        <v>99</v>
      </c>
      <c r="H44" s="1">
        <v>0</v>
      </c>
      <c r="I44" s="1" t="s">
        <v>1102</v>
      </c>
      <c r="J44" t="s">
        <v>11</v>
      </c>
      <c r="K44" s="2">
        <v>882.87194499999998</v>
      </c>
      <c r="L44" s="1">
        <v>35882.871944999999</v>
      </c>
    </row>
    <row r="45" spans="1:12" x14ac:dyDescent="0.35">
      <c r="A45" t="s">
        <v>65</v>
      </c>
      <c r="B45" t="s">
        <v>28</v>
      </c>
      <c r="C45" t="s">
        <v>9</v>
      </c>
      <c r="D45" t="s">
        <v>22</v>
      </c>
      <c r="E45" s="3">
        <v>1223188</v>
      </c>
      <c r="F45">
        <v>43244</v>
      </c>
      <c r="G45">
        <v>103</v>
      </c>
      <c r="H45" s="1">
        <v>0</v>
      </c>
      <c r="I45" s="1" t="s">
        <v>1102</v>
      </c>
      <c r="J45" t="s">
        <v>66</v>
      </c>
      <c r="K45" s="2">
        <v>494.4</v>
      </c>
      <c r="L45" s="1">
        <v>35494.400000000001</v>
      </c>
    </row>
    <row r="46" spans="1:12" x14ac:dyDescent="0.35">
      <c r="A46" t="s">
        <v>67</v>
      </c>
      <c r="B46" t="s">
        <v>8</v>
      </c>
      <c r="C46" t="s">
        <v>19</v>
      </c>
      <c r="D46" t="s">
        <v>68</v>
      </c>
      <c r="E46" s="3">
        <v>495166</v>
      </c>
      <c r="F46">
        <v>46896</v>
      </c>
      <c r="G46">
        <v>35354</v>
      </c>
      <c r="H46" s="1">
        <v>36526</v>
      </c>
      <c r="I46" s="1" t="s">
        <v>1102</v>
      </c>
      <c r="J46" t="s">
        <v>11</v>
      </c>
      <c r="K46" s="2">
        <v>31.707317</v>
      </c>
      <c r="L46" s="1">
        <v>35031.7073170023</v>
      </c>
    </row>
    <row r="47" spans="1:12" x14ac:dyDescent="0.35">
      <c r="A47" t="s">
        <v>69</v>
      </c>
      <c r="B47" t="s">
        <v>24</v>
      </c>
      <c r="C47" t="s">
        <v>9</v>
      </c>
      <c r="D47" t="s">
        <v>68</v>
      </c>
      <c r="E47" s="3">
        <v>1281910</v>
      </c>
      <c r="F47">
        <v>10105</v>
      </c>
      <c r="G47">
        <v>172</v>
      </c>
      <c r="H47" s="1">
        <v>36586</v>
      </c>
      <c r="I47" s="1" t="s">
        <v>1102</v>
      </c>
      <c r="J47" t="s">
        <v>20</v>
      </c>
      <c r="K47" s="2">
        <v>0.51775300000000002</v>
      </c>
      <c r="L47" s="1">
        <v>35000.517752997701</v>
      </c>
    </row>
    <row r="48" spans="1:12" x14ac:dyDescent="0.35">
      <c r="A48" t="s">
        <v>70</v>
      </c>
      <c r="B48" t="s">
        <v>28</v>
      </c>
      <c r="C48" t="s">
        <v>9</v>
      </c>
      <c r="D48" t="s">
        <v>14</v>
      </c>
      <c r="E48" s="3">
        <v>446851</v>
      </c>
      <c r="F48">
        <v>0</v>
      </c>
      <c r="G48">
        <v>73</v>
      </c>
      <c r="H48" s="1">
        <v>36586</v>
      </c>
      <c r="I48" s="1" t="s">
        <v>1102</v>
      </c>
      <c r="J48" t="s">
        <v>11</v>
      </c>
      <c r="K48" s="2">
        <v>579.16595400000006</v>
      </c>
      <c r="L48" s="1">
        <v>35579.165954004602</v>
      </c>
    </row>
    <row r="49" spans="1:12" x14ac:dyDescent="0.35">
      <c r="A49" t="s">
        <v>71</v>
      </c>
      <c r="B49" t="s">
        <v>24</v>
      </c>
      <c r="C49" t="s">
        <v>9</v>
      </c>
      <c r="D49" t="s">
        <v>22</v>
      </c>
      <c r="E49" s="3">
        <v>551434</v>
      </c>
      <c r="F49">
        <v>23218</v>
      </c>
      <c r="G49">
        <v>71</v>
      </c>
      <c r="H49" s="1">
        <v>0</v>
      </c>
      <c r="I49" s="1" t="s">
        <v>1102</v>
      </c>
      <c r="J49" t="s">
        <v>17</v>
      </c>
      <c r="K49" s="2">
        <v>447.79343999999998</v>
      </c>
      <c r="L49" s="1">
        <v>35447.793440000001</v>
      </c>
    </row>
    <row r="50" spans="1:12" x14ac:dyDescent="0.35">
      <c r="A50" t="s">
        <v>72</v>
      </c>
      <c r="B50" t="s">
        <v>1</v>
      </c>
      <c r="C50" t="s">
        <v>9</v>
      </c>
      <c r="D50" t="s">
        <v>14</v>
      </c>
      <c r="E50" s="3">
        <v>334388</v>
      </c>
      <c r="F50">
        <v>0</v>
      </c>
      <c r="G50">
        <v>92</v>
      </c>
      <c r="H50" s="1">
        <v>0</v>
      </c>
      <c r="I50" s="1" t="s">
        <v>1105</v>
      </c>
      <c r="J50" t="s">
        <v>11</v>
      </c>
      <c r="K50" s="2">
        <v>529.62408400000004</v>
      </c>
      <c r="L50" s="1">
        <v>35529.624084004601</v>
      </c>
    </row>
    <row r="51" spans="1:12" x14ac:dyDescent="0.35">
      <c r="A51" t="s">
        <v>73</v>
      </c>
      <c r="B51" t="s">
        <v>28</v>
      </c>
      <c r="C51" t="s">
        <v>9</v>
      </c>
      <c r="D51" t="s">
        <v>22</v>
      </c>
      <c r="E51" s="3">
        <v>229448</v>
      </c>
      <c r="F51">
        <v>0</v>
      </c>
      <c r="G51">
        <v>62</v>
      </c>
      <c r="H51" s="1">
        <v>0</v>
      </c>
      <c r="I51" s="1" t="s">
        <v>1102</v>
      </c>
      <c r="J51" t="s">
        <v>11</v>
      </c>
      <c r="K51" s="2">
        <v>313.02317499999998</v>
      </c>
      <c r="L51" s="1">
        <v>35313.023175000002</v>
      </c>
    </row>
    <row r="52" spans="1:12" x14ac:dyDescent="0.35">
      <c r="A52" t="s">
        <v>74</v>
      </c>
      <c r="B52" t="s">
        <v>24</v>
      </c>
      <c r="C52" t="s">
        <v>9</v>
      </c>
      <c r="D52" t="s">
        <v>26</v>
      </c>
      <c r="E52" s="3">
        <v>3670743</v>
      </c>
      <c r="F52">
        <v>24804</v>
      </c>
      <c r="G52">
        <v>104</v>
      </c>
      <c r="H52" s="1">
        <v>0</v>
      </c>
      <c r="I52" s="1" t="s">
        <v>1102</v>
      </c>
      <c r="J52" t="s">
        <v>20</v>
      </c>
      <c r="K52" s="2">
        <v>593.830288</v>
      </c>
      <c r="L52" s="1">
        <v>35593.830287997698</v>
      </c>
    </row>
    <row r="53" spans="1:12" x14ac:dyDescent="0.35">
      <c r="A53" t="s">
        <v>75</v>
      </c>
      <c r="B53" t="s">
        <v>1</v>
      </c>
      <c r="C53" t="s">
        <v>9</v>
      </c>
      <c r="D53" t="s">
        <v>14</v>
      </c>
      <c r="E53" s="3">
        <v>3347335</v>
      </c>
      <c r="F53">
        <v>33190</v>
      </c>
      <c r="G53">
        <v>106</v>
      </c>
      <c r="H53" s="1">
        <v>0</v>
      </c>
      <c r="I53" s="1" t="s">
        <v>1105</v>
      </c>
      <c r="J53" t="s">
        <v>20</v>
      </c>
      <c r="K53" s="2">
        <v>508.8</v>
      </c>
      <c r="L53" s="1">
        <v>35508.800000000003</v>
      </c>
    </row>
    <row r="54" spans="1:12" x14ac:dyDescent="0.35">
      <c r="A54" t="s">
        <v>76</v>
      </c>
      <c r="B54" t="s">
        <v>16</v>
      </c>
      <c r="C54" t="s">
        <v>9</v>
      </c>
      <c r="D54" t="s">
        <v>22</v>
      </c>
      <c r="E54" s="3">
        <v>798343</v>
      </c>
      <c r="F54">
        <v>36014</v>
      </c>
      <c r="G54">
        <v>69</v>
      </c>
      <c r="H54" s="1">
        <v>36586</v>
      </c>
      <c r="I54" s="1" t="s">
        <v>1112</v>
      </c>
      <c r="J54" t="s">
        <v>11</v>
      </c>
      <c r="K54" s="2">
        <v>173.95607200000001</v>
      </c>
      <c r="L54" s="1">
        <v>35173.9560720023</v>
      </c>
    </row>
    <row r="55" spans="1:12" x14ac:dyDescent="0.35">
      <c r="A55" t="s">
        <v>77</v>
      </c>
      <c r="B55" t="s">
        <v>8</v>
      </c>
      <c r="C55" t="s">
        <v>13</v>
      </c>
      <c r="D55" t="s">
        <v>10</v>
      </c>
      <c r="E55" s="3">
        <v>487938</v>
      </c>
      <c r="F55">
        <v>67163</v>
      </c>
      <c r="G55">
        <v>61</v>
      </c>
      <c r="H55" s="1">
        <v>36557</v>
      </c>
      <c r="I55" s="1" t="s">
        <v>1102</v>
      </c>
      <c r="J55" t="s">
        <v>17</v>
      </c>
      <c r="K55" s="2">
        <v>33.192802999999998</v>
      </c>
      <c r="L55" s="1">
        <v>35033.192802997699</v>
      </c>
    </row>
    <row r="56" spans="1:12" x14ac:dyDescent="0.35">
      <c r="A56" t="s">
        <v>78</v>
      </c>
      <c r="B56" t="s">
        <v>1</v>
      </c>
      <c r="C56" t="s">
        <v>9</v>
      </c>
      <c r="D56" t="s">
        <v>14</v>
      </c>
      <c r="E56" s="3">
        <v>429400</v>
      </c>
      <c r="F56">
        <v>16701</v>
      </c>
      <c r="G56">
        <v>113</v>
      </c>
      <c r="H56" s="1">
        <v>0</v>
      </c>
      <c r="I56" s="1" t="s">
        <v>1102</v>
      </c>
      <c r="J56" t="s">
        <v>11</v>
      </c>
      <c r="K56" s="2">
        <v>831.62597900000003</v>
      </c>
      <c r="L56" s="1">
        <v>35831.625979004602</v>
      </c>
    </row>
    <row r="57" spans="1:12" x14ac:dyDescent="0.35">
      <c r="A57" t="s">
        <v>79</v>
      </c>
      <c r="B57" t="s">
        <v>28</v>
      </c>
      <c r="C57" t="s">
        <v>9</v>
      </c>
      <c r="D57" t="s">
        <v>26</v>
      </c>
      <c r="E57" s="3">
        <v>716440</v>
      </c>
      <c r="F57">
        <v>46623</v>
      </c>
      <c r="G57">
        <v>91</v>
      </c>
      <c r="H57" s="1">
        <v>0</v>
      </c>
      <c r="I57" s="1" t="s">
        <v>1105</v>
      </c>
      <c r="J57" t="s">
        <v>11</v>
      </c>
      <c r="K57" s="2">
        <v>436.8</v>
      </c>
      <c r="L57" s="1">
        <v>35436.800000000003</v>
      </c>
    </row>
    <row r="58" spans="1:12" x14ac:dyDescent="0.35">
      <c r="A58" t="s">
        <v>80</v>
      </c>
      <c r="B58" t="s">
        <v>1</v>
      </c>
      <c r="C58" t="s">
        <v>9</v>
      </c>
      <c r="D58" t="s">
        <v>26</v>
      </c>
      <c r="E58" s="3">
        <v>761952</v>
      </c>
      <c r="F58">
        <v>64749</v>
      </c>
      <c r="G58">
        <v>64</v>
      </c>
      <c r="H58" s="1">
        <v>0</v>
      </c>
      <c r="I58" s="1" t="s">
        <v>1112</v>
      </c>
      <c r="J58" t="s">
        <v>11</v>
      </c>
      <c r="K58" s="2">
        <v>302.56518999999997</v>
      </c>
      <c r="L58" s="1">
        <v>35302.565190000001</v>
      </c>
    </row>
    <row r="59" spans="1:12" x14ac:dyDescent="0.35">
      <c r="A59" t="s">
        <v>81</v>
      </c>
      <c r="B59" t="s">
        <v>28</v>
      </c>
      <c r="C59" t="s">
        <v>9</v>
      </c>
      <c r="D59" t="s">
        <v>22</v>
      </c>
      <c r="E59" s="3">
        <v>395800</v>
      </c>
      <c r="F59">
        <v>0</v>
      </c>
      <c r="G59">
        <v>101</v>
      </c>
      <c r="H59" s="1">
        <v>0</v>
      </c>
      <c r="I59" s="1" t="s">
        <v>1102</v>
      </c>
      <c r="J59" t="s">
        <v>20</v>
      </c>
      <c r="K59" s="2">
        <v>484.8</v>
      </c>
      <c r="L59" s="1">
        <v>35484.800000000003</v>
      </c>
    </row>
    <row r="60" spans="1:12" x14ac:dyDescent="0.35">
      <c r="A60" t="s">
        <v>82</v>
      </c>
      <c r="B60" t="s">
        <v>24</v>
      </c>
      <c r="C60" t="s">
        <v>9</v>
      </c>
      <c r="D60" t="s">
        <v>22</v>
      </c>
      <c r="E60" s="3">
        <v>449949</v>
      </c>
      <c r="F60">
        <v>16969</v>
      </c>
      <c r="G60">
        <v>124</v>
      </c>
      <c r="H60" s="1">
        <v>36557</v>
      </c>
      <c r="I60" s="1" t="s">
        <v>1102</v>
      </c>
      <c r="J60" t="s">
        <v>20</v>
      </c>
      <c r="K60" s="2">
        <v>704.76811099999998</v>
      </c>
      <c r="L60" s="1">
        <v>35704.768110995399</v>
      </c>
    </row>
    <row r="61" spans="1:12" x14ac:dyDescent="0.35">
      <c r="A61" t="s">
        <v>83</v>
      </c>
      <c r="B61" t="s">
        <v>24</v>
      </c>
      <c r="C61" t="s">
        <v>9</v>
      </c>
      <c r="D61" t="s">
        <v>10</v>
      </c>
      <c r="E61" s="3">
        <v>405957</v>
      </c>
      <c r="F61">
        <v>11621</v>
      </c>
      <c r="G61">
        <v>108</v>
      </c>
      <c r="H61" s="1">
        <v>0</v>
      </c>
      <c r="I61" s="1" t="s">
        <v>1102</v>
      </c>
      <c r="J61" t="s">
        <v>11</v>
      </c>
      <c r="K61" s="2">
        <v>518.4</v>
      </c>
      <c r="L61" s="1">
        <v>35518.400000000001</v>
      </c>
    </row>
    <row r="62" spans="1:12" x14ac:dyDescent="0.35">
      <c r="A62" t="s">
        <v>84</v>
      </c>
      <c r="B62" t="s">
        <v>28</v>
      </c>
      <c r="C62" t="s">
        <v>9</v>
      </c>
      <c r="D62" t="s">
        <v>14</v>
      </c>
      <c r="E62" s="3">
        <v>445811</v>
      </c>
      <c r="F62">
        <v>17622</v>
      </c>
      <c r="G62">
        <v>65</v>
      </c>
      <c r="H62" s="1">
        <v>36526</v>
      </c>
      <c r="I62" s="1" t="s">
        <v>1102</v>
      </c>
      <c r="J62" t="s">
        <v>11</v>
      </c>
      <c r="K62" s="2">
        <v>312</v>
      </c>
      <c r="L62" s="1">
        <v>35312</v>
      </c>
    </row>
    <row r="63" spans="1:12" x14ac:dyDescent="0.35">
      <c r="A63" t="s">
        <v>85</v>
      </c>
      <c r="B63" t="s">
        <v>1</v>
      </c>
      <c r="C63" t="s">
        <v>9</v>
      </c>
      <c r="D63" t="s">
        <v>14</v>
      </c>
      <c r="E63" s="3">
        <v>811033</v>
      </c>
      <c r="F63">
        <v>11489</v>
      </c>
      <c r="G63">
        <v>105</v>
      </c>
      <c r="H63" s="1">
        <v>0</v>
      </c>
      <c r="I63" s="1" t="s">
        <v>1102</v>
      </c>
      <c r="J63" t="s">
        <v>17</v>
      </c>
      <c r="K63" s="2">
        <v>504</v>
      </c>
      <c r="L63" s="1">
        <v>35504</v>
      </c>
    </row>
    <row r="64" spans="1:12" x14ac:dyDescent="0.35">
      <c r="A64" t="s">
        <v>86</v>
      </c>
      <c r="B64" t="s">
        <v>24</v>
      </c>
      <c r="C64" t="s">
        <v>9</v>
      </c>
      <c r="D64" t="s">
        <v>14</v>
      </c>
      <c r="E64" s="3">
        <v>333976</v>
      </c>
      <c r="F64">
        <v>0</v>
      </c>
      <c r="G64">
        <v>94</v>
      </c>
      <c r="H64" s="1">
        <v>0</v>
      </c>
      <c r="I64" s="1" t="s">
        <v>1102</v>
      </c>
      <c r="J64" t="s">
        <v>17</v>
      </c>
      <c r="K64" s="2">
        <v>863.32732399999998</v>
      </c>
      <c r="L64" s="1">
        <v>35863.327324004596</v>
      </c>
    </row>
    <row r="65" spans="1:12" x14ac:dyDescent="0.35">
      <c r="A65" t="s">
        <v>87</v>
      </c>
      <c r="B65" t="s">
        <v>1</v>
      </c>
      <c r="C65" t="s">
        <v>9</v>
      </c>
      <c r="D65" t="s">
        <v>22</v>
      </c>
      <c r="E65" s="3">
        <v>2426102</v>
      </c>
      <c r="F65">
        <v>66525</v>
      </c>
      <c r="G65">
        <v>100</v>
      </c>
      <c r="H65" s="1">
        <v>0</v>
      </c>
      <c r="I65" s="1" t="s">
        <v>1102</v>
      </c>
      <c r="J65" t="s">
        <v>20</v>
      </c>
      <c r="K65" s="2">
        <v>104.331355</v>
      </c>
      <c r="L65" s="1">
        <v>35104.331355000002</v>
      </c>
    </row>
    <row r="66" spans="1:12" x14ac:dyDescent="0.35">
      <c r="A66" t="s">
        <v>88</v>
      </c>
      <c r="B66" t="s">
        <v>28</v>
      </c>
      <c r="C66" t="s">
        <v>9</v>
      </c>
      <c r="D66" t="s">
        <v>14</v>
      </c>
      <c r="E66" s="3">
        <v>661397</v>
      </c>
      <c r="F66">
        <v>0</v>
      </c>
      <c r="G66">
        <v>63</v>
      </c>
      <c r="H66" s="1">
        <v>0</v>
      </c>
      <c r="I66" s="1" t="s">
        <v>1102</v>
      </c>
      <c r="J66" t="s">
        <v>11</v>
      </c>
      <c r="K66" s="2">
        <v>676.391482</v>
      </c>
      <c r="L66" s="1">
        <v>35676.391482002298</v>
      </c>
    </row>
    <row r="67" spans="1:12" x14ac:dyDescent="0.35">
      <c r="A67" t="s">
        <v>89</v>
      </c>
      <c r="B67" t="s">
        <v>8</v>
      </c>
      <c r="C67" t="s">
        <v>9</v>
      </c>
      <c r="D67" t="s">
        <v>26</v>
      </c>
      <c r="E67" s="3">
        <v>293069</v>
      </c>
      <c r="F67">
        <v>33663</v>
      </c>
      <c r="G67">
        <v>73</v>
      </c>
      <c r="H67" s="1">
        <v>0</v>
      </c>
      <c r="I67" s="1" t="s">
        <v>1102</v>
      </c>
      <c r="J67" t="s">
        <v>11</v>
      </c>
      <c r="K67" s="2">
        <v>350.4</v>
      </c>
      <c r="L67" s="1">
        <v>35350.400000000001</v>
      </c>
    </row>
    <row r="68" spans="1:12" x14ac:dyDescent="0.35">
      <c r="A68" t="s">
        <v>90</v>
      </c>
      <c r="B68" t="s">
        <v>24</v>
      </c>
      <c r="C68" t="s">
        <v>9</v>
      </c>
      <c r="D68" t="s">
        <v>26</v>
      </c>
      <c r="E68" s="3">
        <v>867219</v>
      </c>
      <c r="F68">
        <v>22547</v>
      </c>
      <c r="G68">
        <v>112</v>
      </c>
      <c r="H68" s="1">
        <v>0</v>
      </c>
      <c r="I68" s="1" t="s">
        <v>1105</v>
      </c>
      <c r="J68" t="s">
        <v>20</v>
      </c>
      <c r="K68" s="2">
        <v>537.6</v>
      </c>
      <c r="L68" s="1">
        <v>35537.599999999999</v>
      </c>
    </row>
    <row r="69" spans="1:12" x14ac:dyDescent="0.35">
      <c r="A69" t="s">
        <v>91</v>
      </c>
      <c r="B69" t="s">
        <v>28</v>
      </c>
      <c r="C69" t="s">
        <v>9</v>
      </c>
      <c r="D69" t="s">
        <v>22</v>
      </c>
      <c r="E69" s="3">
        <v>1163867</v>
      </c>
      <c r="F69">
        <v>61486</v>
      </c>
      <c r="G69">
        <v>97</v>
      </c>
      <c r="H69" s="1">
        <v>0</v>
      </c>
      <c r="I69" s="1" t="s">
        <v>1102</v>
      </c>
      <c r="J69" t="s">
        <v>17</v>
      </c>
      <c r="K69" s="2">
        <v>465.258644</v>
      </c>
      <c r="L69" s="1">
        <v>35465.2586440046</v>
      </c>
    </row>
    <row r="70" spans="1:12" x14ac:dyDescent="0.35">
      <c r="A70" t="s">
        <v>92</v>
      </c>
      <c r="B70" t="s">
        <v>24</v>
      </c>
      <c r="C70" t="s">
        <v>9</v>
      </c>
      <c r="D70" t="s">
        <v>14</v>
      </c>
      <c r="E70" s="3">
        <v>684615</v>
      </c>
      <c r="F70">
        <v>0</v>
      </c>
      <c r="G70">
        <v>95</v>
      </c>
      <c r="H70" s="1">
        <v>0</v>
      </c>
      <c r="I70" s="1" t="s">
        <v>1102</v>
      </c>
      <c r="J70" t="s">
        <v>17</v>
      </c>
      <c r="K70" s="2">
        <v>456</v>
      </c>
      <c r="L70" s="1">
        <v>35456</v>
      </c>
    </row>
    <row r="71" spans="1:12" x14ac:dyDescent="0.35">
      <c r="A71" t="s">
        <v>93</v>
      </c>
      <c r="B71" t="s">
        <v>1</v>
      </c>
      <c r="C71" t="s">
        <v>9</v>
      </c>
      <c r="D71" t="s">
        <v>26</v>
      </c>
      <c r="E71" s="3">
        <v>1172778</v>
      </c>
      <c r="F71">
        <v>29879</v>
      </c>
      <c r="G71">
        <v>102</v>
      </c>
      <c r="H71" s="1">
        <v>0</v>
      </c>
      <c r="I71" s="1" t="s">
        <v>1102</v>
      </c>
      <c r="J71" t="s">
        <v>11</v>
      </c>
      <c r="K71" s="2">
        <v>500.25423499999999</v>
      </c>
      <c r="L71" s="1">
        <v>35500.254235</v>
      </c>
    </row>
    <row r="72" spans="1:12" x14ac:dyDescent="0.35">
      <c r="A72" t="s">
        <v>94</v>
      </c>
      <c r="B72" t="s">
        <v>24</v>
      </c>
      <c r="C72" t="s">
        <v>9</v>
      </c>
      <c r="D72" t="s">
        <v>22</v>
      </c>
      <c r="E72" s="3">
        <v>2264383</v>
      </c>
      <c r="F72">
        <v>93011</v>
      </c>
      <c r="G72">
        <v>113</v>
      </c>
      <c r="H72" s="1">
        <v>0</v>
      </c>
      <c r="I72" s="1" t="s">
        <v>1102</v>
      </c>
      <c r="J72" t="s">
        <v>20</v>
      </c>
      <c r="K72" s="2">
        <v>281.45104199999997</v>
      </c>
      <c r="L72" s="1">
        <v>35281.4510420023</v>
      </c>
    </row>
    <row r="73" spans="1:12" x14ac:dyDescent="0.35">
      <c r="A73" t="s">
        <v>95</v>
      </c>
      <c r="B73" t="s">
        <v>24</v>
      </c>
      <c r="C73" t="s">
        <v>9</v>
      </c>
      <c r="D73" t="s">
        <v>10</v>
      </c>
      <c r="E73" s="3">
        <v>261447</v>
      </c>
      <c r="F73">
        <v>65186</v>
      </c>
      <c r="G73">
        <v>65</v>
      </c>
      <c r="H73" s="1">
        <v>0</v>
      </c>
      <c r="I73" s="1" t="s">
        <v>1102</v>
      </c>
      <c r="J73" t="s">
        <v>17</v>
      </c>
      <c r="K73" s="2">
        <v>5.4345049999999997</v>
      </c>
      <c r="L73" s="1">
        <v>35005.434504999997</v>
      </c>
    </row>
    <row r="74" spans="1:12" x14ac:dyDescent="0.35">
      <c r="A74" t="s">
        <v>96</v>
      </c>
      <c r="B74" t="s">
        <v>24</v>
      </c>
      <c r="C74" t="s">
        <v>9</v>
      </c>
      <c r="D74" t="s">
        <v>10</v>
      </c>
      <c r="E74" s="3">
        <v>245175</v>
      </c>
      <c r="F74">
        <v>26840</v>
      </c>
      <c r="G74">
        <v>64</v>
      </c>
      <c r="H74" s="1">
        <v>36557</v>
      </c>
      <c r="I74" s="1" t="s">
        <v>1102</v>
      </c>
      <c r="J74" t="s">
        <v>11</v>
      </c>
      <c r="K74" s="2">
        <v>307.2</v>
      </c>
      <c r="L74" s="1">
        <v>35307.199999999997</v>
      </c>
    </row>
    <row r="75" spans="1:12" x14ac:dyDescent="0.35">
      <c r="A75" t="s">
        <v>97</v>
      </c>
      <c r="B75" t="s">
        <v>24</v>
      </c>
      <c r="C75" t="s">
        <v>9</v>
      </c>
      <c r="D75" t="s">
        <v>14</v>
      </c>
      <c r="E75" s="3">
        <v>678127</v>
      </c>
      <c r="F75">
        <v>0</v>
      </c>
      <c r="G75">
        <v>104</v>
      </c>
      <c r="H75" s="1">
        <v>36526</v>
      </c>
      <c r="I75" s="1" t="s">
        <v>1102</v>
      </c>
      <c r="J75" t="s">
        <v>66</v>
      </c>
      <c r="K75" s="2">
        <v>982.39961300000004</v>
      </c>
      <c r="L75" s="1">
        <v>35982.399612997702</v>
      </c>
    </row>
    <row r="76" spans="1:12" x14ac:dyDescent="0.35">
      <c r="A76" t="s">
        <v>98</v>
      </c>
      <c r="B76" t="s">
        <v>24</v>
      </c>
      <c r="C76" t="s">
        <v>9</v>
      </c>
      <c r="D76" t="s">
        <v>14</v>
      </c>
      <c r="E76" s="3">
        <v>497480</v>
      </c>
      <c r="F76">
        <v>75644</v>
      </c>
      <c r="G76">
        <v>65</v>
      </c>
      <c r="H76" s="1">
        <v>36586</v>
      </c>
      <c r="I76" s="1" t="s">
        <v>1102</v>
      </c>
      <c r="J76" t="s">
        <v>17</v>
      </c>
      <c r="K76" s="2">
        <v>467.80363799999998</v>
      </c>
      <c r="L76" s="1">
        <v>35467.803637997698</v>
      </c>
    </row>
    <row r="77" spans="1:12" x14ac:dyDescent="0.35">
      <c r="A77" t="s">
        <v>99</v>
      </c>
      <c r="B77" t="s">
        <v>24</v>
      </c>
      <c r="C77" t="s">
        <v>9</v>
      </c>
      <c r="D77" t="s">
        <v>14</v>
      </c>
      <c r="E77" s="3">
        <v>859160</v>
      </c>
      <c r="F77">
        <v>38984</v>
      </c>
      <c r="G77">
        <v>73</v>
      </c>
      <c r="H77" s="1">
        <v>0</v>
      </c>
      <c r="I77" s="1" t="s">
        <v>1102</v>
      </c>
      <c r="J77" t="s">
        <v>11</v>
      </c>
      <c r="K77" s="2">
        <v>350.4</v>
      </c>
      <c r="L77" s="1">
        <v>35350.400000000001</v>
      </c>
    </row>
    <row r="78" spans="1:12" x14ac:dyDescent="0.35">
      <c r="A78" t="s">
        <v>100</v>
      </c>
      <c r="B78" t="s">
        <v>24</v>
      </c>
      <c r="C78" t="s">
        <v>9</v>
      </c>
      <c r="D78" t="s">
        <v>22</v>
      </c>
      <c r="E78" s="3">
        <v>559216</v>
      </c>
      <c r="F78">
        <v>71811</v>
      </c>
      <c r="G78">
        <v>71</v>
      </c>
      <c r="H78" s="1">
        <v>0</v>
      </c>
      <c r="I78" s="1" t="s">
        <v>1102</v>
      </c>
      <c r="J78" t="s">
        <v>11</v>
      </c>
      <c r="K78" s="2">
        <v>29.03416</v>
      </c>
      <c r="L78" s="1">
        <v>35029.034160000003</v>
      </c>
    </row>
    <row r="79" spans="1:12" x14ac:dyDescent="0.35">
      <c r="A79" t="s">
        <v>101</v>
      </c>
      <c r="B79" t="s">
        <v>16</v>
      </c>
      <c r="C79" t="s">
        <v>9</v>
      </c>
      <c r="D79" t="s">
        <v>26</v>
      </c>
      <c r="E79" s="3">
        <v>800947</v>
      </c>
      <c r="F79">
        <v>20961</v>
      </c>
      <c r="G79">
        <v>67</v>
      </c>
      <c r="H79" s="1">
        <v>0</v>
      </c>
      <c r="I79" s="1" t="s">
        <v>1102</v>
      </c>
      <c r="J79" t="s">
        <v>11</v>
      </c>
      <c r="K79" s="2">
        <v>321.60000000000002</v>
      </c>
      <c r="L79" s="1">
        <v>35321.599999999999</v>
      </c>
    </row>
    <row r="80" spans="1:12" x14ac:dyDescent="0.35">
      <c r="A80" t="s">
        <v>102</v>
      </c>
      <c r="B80" t="s">
        <v>8</v>
      </c>
      <c r="C80" t="s">
        <v>13</v>
      </c>
      <c r="D80" t="s">
        <v>10</v>
      </c>
      <c r="E80" s="3">
        <v>0</v>
      </c>
      <c r="F80">
        <v>41275</v>
      </c>
      <c r="G80">
        <v>96</v>
      </c>
      <c r="H80" s="1">
        <v>0</v>
      </c>
      <c r="I80" s="1" t="s">
        <v>1102</v>
      </c>
      <c r="J80" t="s">
        <v>11</v>
      </c>
      <c r="K80" s="2">
        <v>41.122303000000002</v>
      </c>
      <c r="L80" s="1">
        <v>35041.122302997697</v>
      </c>
    </row>
    <row r="81" spans="1:12" x14ac:dyDescent="0.35">
      <c r="A81" t="s">
        <v>103</v>
      </c>
      <c r="B81" t="s">
        <v>1</v>
      </c>
      <c r="C81" t="s">
        <v>9</v>
      </c>
      <c r="D81" t="s">
        <v>14</v>
      </c>
      <c r="E81" s="3">
        <v>5816655</v>
      </c>
      <c r="F81">
        <v>61321</v>
      </c>
      <c r="G81">
        <v>186</v>
      </c>
      <c r="H81" s="1">
        <v>36526</v>
      </c>
      <c r="I81" s="1" t="s">
        <v>1102</v>
      </c>
      <c r="J81" t="s">
        <v>104</v>
      </c>
      <c r="K81" s="2">
        <v>427.63121000000001</v>
      </c>
      <c r="L81" s="1">
        <v>35427.63121</v>
      </c>
    </row>
    <row r="82" spans="1:12" x14ac:dyDescent="0.35">
      <c r="A82" t="s">
        <v>105</v>
      </c>
      <c r="B82" t="s">
        <v>1</v>
      </c>
      <c r="C82" t="s">
        <v>9</v>
      </c>
      <c r="D82" t="s">
        <v>26</v>
      </c>
      <c r="E82" s="3">
        <v>802523</v>
      </c>
      <c r="F82">
        <v>0</v>
      </c>
      <c r="G82">
        <v>77</v>
      </c>
      <c r="H82" s="1">
        <v>0</v>
      </c>
      <c r="I82" s="1" t="s">
        <v>1102</v>
      </c>
      <c r="J82" t="s">
        <v>17</v>
      </c>
      <c r="K82" s="2">
        <v>25.807684999999999</v>
      </c>
      <c r="L82" s="1">
        <v>35025.807685</v>
      </c>
    </row>
    <row r="83" spans="1:12" x14ac:dyDescent="0.35">
      <c r="A83" t="s">
        <v>106</v>
      </c>
      <c r="B83" t="s">
        <v>1</v>
      </c>
      <c r="C83" t="s">
        <v>9</v>
      </c>
      <c r="D83" t="s">
        <v>22</v>
      </c>
      <c r="E83" s="3">
        <v>578018</v>
      </c>
      <c r="F83">
        <v>51066</v>
      </c>
      <c r="G83">
        <v>74</v>
      </c>
      <c r="H83" s="1">
        <v>0</v>
      </c>
      <c r="I83" s="1" t="s">
        <v>1102</v>
      </c>
      <c r="J83" t="s">
        <v>11</v>
      </c>
      <c r="K83" s="2">
        <v>787.99331299999994</v>
      </c>
      <c r="L83" s="1">
        <v>35787.9933129977</v>
      </c>
    </row>
    <row r="84" spans="1:12" x14ac:dyDescent="0.35">
      <c r="A84" t="s">
        <v>107</v>
      </c>
      <c r="B84" t="s">
        <v>1</v>
      </c>
      <c r="C84" t="s">
        <v>9</v>
      </c>
      <c r="D84" t="s">
        <v>68</v>
      </c>
      <c r="E84" s="3">
        <v>411854</v>
      </c>
      <c r="F84">
        <v>34378</v>
      </c>
      <c r="G84">
        <v>102</v>
      </c>
      <c r="H84" s="1">
        <v>0</v>
      </c>
      <c r="I84" s="1" t="s">
        <v>1102</v>
      </c>
      <c r="J84" t="s">
        <v>20</v>
      </c>
      <c r="K84" s="2">
        <v>489.6</v>
      </c>
      <c r="L84" s="1">
        <v>35489.599999999999</v>
      </c>
    </row>
    <row r="85" spans="1:12" x14ac:dyDescent="0.35">
      <c r="A85" t="s">
        <v>108</v>
      </c>
      <c r="B85" t="s">
        <v>16</v>
      </c>
      <c r="C85" t="s">
        <v>9</v>
      </c>
      <c r="D85" t="s">
        <v>10</v>
      </c>
      <c r="E85" s="3">
        <v>252307</v>
      </c>
      <c r="F85">
        <v>43072</v>
      </c>
      <c r="G85">
        <v>63</v>
      </c>
      <c r="H85" s="1">
        <v>0</v>
      </c>
      <c r="I85" s="1" t="s">
        <v>1102</v>
      </c>
      <c r="J85" t="s">
        <v>11</v>
      </c>
      <c r="K85" s="2">
        <v>302.39999999999998</v>
      </c>
      <c r="L85" s="1">
        <v>35302.400000000001</v>
      </c>
    </row>
    <row r="86" spans="1:12" x14ac:dyDescent="0.35">
      <c r="A86" t="s">
        <v>109</v>
      </c>
      <c r="B86" t="s">
        <v>24</v>
      </c>
      <c r="C86" t="s">
        <v>9</v>
      </c>
      <c r="D86" t="s">
        <v>26</v>
      </c>
      <c r="E86" s="3">
        <v>655422</v>
      </c>
      <c r="F86">
        <v>25222</v>
      </c>
      <c r="G86">
        <v>90</v>
      </c>
      <c r="H86" s="1">
        <v>0</v>
      </c>
      <c r="I86" s="1" t="s">
        <v>1102</v>
      </c>
      <c r="J86" t="s">
        <v>11</v>
      </c>
      <c r="K86" s="2">
        <v>475.62325099999998</v>
      </c>
      <c r="L86" s="1">
        <v>35475.623250995399</v>
      </c>
    </row>
    <row r="87" spans="1:12" x14ac:dyDescent="0.35">
      <c r="A87" t="s">
        <v>110</v>
      </c>
      <c r="B87" t="s">
        <v>8</v>
      </c>
      <c r="C87" t="s">
        <v>13</v>
      </c>
      <c r="D87" t="s">
        <v>14</v>
      </c>
      <c r="E87" s="3">
        <v>538275</v>
      </c>
      <c r="F87">
        <v>77552</v>
      </c>
      <c r="G87">
        <v>68</v>
      </c>
      <c r="H87" s="1">
        <v>36526</v>
      </c>
      <c r="I87" s="1" t="s">
        <v>1105</v>
      </c>
      <c r="J87" t="s">
        <v>11</v>
      </c>
      <c r="K87" s="2">
        <v>45.215058999999997</v>
      </c>
      <c r="L87" s="1">
        <v>35045.2150590046</v>
      </c>
    </row>
    <row r="88" spans="1:12" x14ac:dyDescent="0.35">
      <c r="A88" t="s">
        <v>111</v>
      </c>
      <c r="B88" t="s">
        <v>1</v>
      </c>
      <c r="C88" t="s">
        <v>9</v>
      </c>
      <c r="D88" t="s">
        <v>26</v>
      </c>
      <c r="E88" s="3">
        <v>592673</v>
      </c>
      <c r="F88">
        <v>23091</v>
      </c>
      <c r="G88">
        <v>96</v>
      </c>
      <c r="H88" s="1">
        <v>36647</v>
      </c>
      <c r="I88" s="1" t="s">
        <v>1102</v>
      </c>
      <c r="J88" t="s">
        <v>11</v>
      </c>
      <c r="K88" s="2">
        <v>460.8</v>
      </c>
      <c r="L88" s="1">
        <v>35460.800000000003</v>
      </c>
    </row>
    <row r="89" spans="1:12" x14ac:dyDescent="0.35">
      <c r="A89" t="s">
        <v>112</v>
      </c>
      <c r="B89" t="s">
        <v>1</v>
      </c>
      <c r="C89" t="s">
        <v>9</v>
      </c>
      <c r="D89" t="s">
        <v>14</v>
      </c>
      <c r="E89" s="3">
        <v>268347</v>
      </c>
      <c r="F89">
        <v>48269</v>
      </c>
      <c r="G89">
        <v>69</v>
      </c>
      <c r="H89" s="1">
        <v>36586</v>
      </c>
      <c r="I89" s="1" t="s">
        <v>1105</v>
      </c>
      <c r="J89" t="s">
        <v>11</v>
      </c>
      <c r="K89" s="2">
        <v>282.151207</v>
      </c>
      <c r="L89" s="1">
        <v>35282.151207002302</v>
      </c>
    </row>
    <row r="90" spans="1:12" x14ac:dyDescent="0.35">
      <c r="A90" t="s">
        <v>113</v>
      </c>
      <c r="B90" t="s">
        <v>24</v>
      </c>
      <c r="C90" t="s">
        <v>9</v>
      </c>
      <c r="D90" t="s">
        <v>14</v>
      </c>
      <c r="E90" s="3">
        <v>269518</v>
      </c>
      <c r="F90">
        <v>32720</v>
      </c>
      <c r="G90">
        <v>67</v>
      </c>
      <c r="H90" s="1">
        <v>0</v>
      </c>
      <c r="I90" s="1" t="s">
        <v>1102</v>
      </c>
      <c r="J90" t="s">
        <v>11</v>
      </c>
      <c r="K90" s="2">
        <v>321.60000000000002</v>
      </c>
      <c r="L90" s="1">
        <v>35321.599999999999</v>
      </c>
    </row>
    <row r="91" spans="1:12" x14ac:dyDescent="0.35">
      <c r="A91" t="s">
        <v>114</v>
      </c>
      <c r="B91" t="s">
        <v>1</v>
      </c>
      <c r="C91" t="s">
        <v>9</v>
      </c>
      <c r="D91" t="s">
        <v>26</v>
      </c>
      <c r="E91" s="3">
        <v>604703</v>
      </c>
      <c r="F91">
        <v>20396</v>
      </c>
      <c r="G91">
        <v>76</v>
      </c>
      <c r="H91" s="1">
        <v>36526</v>
      </c>
      <c r="I91" s="1" t="s">
        <v>1102</v>
      </c>
      <c r="J91" t="s">
        <v>11</v>
      </c>
      <c r="K91" s="2">
        <v>364.8</v>
      </c>
      <c r="L91" s="1">
        <v>35364.800000000003</v>
      </c>
    </row>
    <row r="92" spans="1:12" x14ac:dyDescent="0.35">
      <c r="A92" t="s">
        <v>115</v>
      </c>
      <c r="B92" t="s">
        <v>24</v>
      </c>
      <c r="C92" t="s">
        <v>9</v>
      </c>
      <c r="D92" t="s">
        <v>26</v>
      </c>
      <c r="E92" s="3">
        <v>1317101</v>
      </c>
      <c r="F92">
        <v>21513</v>
      </c>
      <c r="G92">
        <v>119</v>
      </c>
      <c r="H92" s="1">
        <v>36526</v>
      </c>
      <c r="I92" s="1" t="s">
        <v>1102</v>
      </c>
      <c r="J92" t="s">
        <v>17</v>
      </c>
      <c r="K92" s="2">
        <v>679.82759199999998</v>
      </c>
      <c r="L92" s="1">
        <v>35679.827592002301</v>
      </c>
    </row>
    <row r="93" spans="1:12" x14ac:dyDescent="0.35">
      <c r="A93" t="s">
        <v>116</v>
      </c>
      <c r="B93" t="s">
        <v>8</v>
      </c>
      <c r="C93" t="s">
        <v>13</v>
      </c>
      <c r="D93" t="s">
        <v>26</v>
      </c>
      <c r="E93" s="3">
        <v>1595002</v>
      </c>
      <c r="F93">
        <v>0</v>
      </c>
      <c r="G93">
        <v>87</v>
      </c>
      <c r="H93" s="1">
        <v>36526</v>
      </c>
      <c r="I93" s="1" t="s">
        <v>1102</v>
      </c>
      <c r="J93" t="s">
        <v>17</v>
      </c>
      <c r="K93" s="2">
        <v>46.041452</v>
      </c>
      <c r="L93" s="1">
        <v>35046.041452002297</v>
      </c>
    </row>
    <row r="94" spans="1:12" x14ac:dyDescent="0.35">
      <c r="A94" t="s">
        <v>117</v>
      </c>
      <c r="B94" t="s">
        <v>24</v>
      </c>
      <c r="C94" t="s">
        <v>9</v>
      </c>
      <c r="D94" t="s">
        <v>14</v>
      </c>
      <c r="E94" s="3">
        <v>252765</v>
      </c>
      <c r="F94">
        <v>80744</v>
      </c>
      <c r="G94">
        <v>63</v>
      </c>
      <c r="H94" s="1">
        <v>0</v>
      </c>
      <c r="I94" s="1" t="s">
        <v>1105</v>
      </c>
      <c r="J94" t="s">
        <v>11</v>
      </c>
      <c r="K94" s="2">
        <v>11.879037</v>
      </c>
      <c r="L94" s="1">
        <v>35011.879037002298</v>
      </c>
    </row>
    <row r="95" spans="1:12" x14ac:dyDescent="0.35">
      <c r="A95" t="s">
        <v>118</v>
      </c>
      <c r="B95" t="s">
        <v>24</v>
      </c>
      <c r="C95" t="s">
        <v>9</v>
      </c>
      <c r="D95" t="s">
        <v>14</v>
      </c>
      <c r="E95" s="3">
        <v>267210</v>
      </c>
      <c r="F95">
        <v>52822</v>
      </c>
      <c r="G95">
        <v>67</v>
      </c>
      <c r="H95" s="1">
        <v>0</v>
      </c>
      <c r="I95" s="1" t="s">
        <v>1105</v>
      </c>
      <c r="J95" t="s">
        <v>17</v>
      </c>
      <c r="K95" s="2">
        <v>350.52903300000003</v>
      </c>
      <c r="L95" s="1">
        <v>35350.5290329977</v>
      </c>
    </row>
    <row r="96" spans="1:12" x14ac:dyDescent="0.35">
      <c r="A96" t="s">
        <v>119</v>
      </c>
      <c r="B96" t="s">
        <v>1</v>
      </c>
      <c r="C96" t="s">
        <v>9</v>
      </c>
      <c r="D96" t="s">
        <v>22</v>
      </c>
      <c r="E96" s="3">
        <v>531329</v>
      </c>
      <c r="F96">
        <v>0</v>
      </c>
      <c r="G96">
        <v>77</v>
      </c>
      <c r="H96" s="1">
        <v>36526</v>
      </c>
      <c r="I96" s="1" t="s">
        <v>1102</v>
      </c>
      <c r="J96" t="s">
        <v>11</v>
      </c>
      <c r="K96" s="2">
        <v>863.39469999999994</v>
      </c>
      <c r="L96" s="1">
        <v>35863.394699999997</v>
      </c>
    </row>
    <row r="97" spans="1:12" x14ac:dyDescent="0.35">
      <c r="A97" t="s">
        <v>120</v>
      </c>
      <c r="B97" t="s">
        <v>24</v>
      </c>
      <c r="C97" t="s">
        <v>9</v>
      </c>
      <c r="D97" t="s">
        <v>14</v>
      </c>
      <c r="E97" s="3">
        <v>2094619</v>
      </c>
      <c r="F97">
        <v>69738</v>
      </c>
      <c r="G97">
        <v>74</v>
      </c>
      <c r="H97" s="1">
        <v>36526</v>
      </c>
      <c r="I97" s="1" t="s">
        <v>1102</v>
      </c>
      <c r="J97" t="s">
        <v>11</v>
      </c>
      <c r="K97" s="2">
        <v>492.12753199999997</v>
      </c>
      <c r="L97" s="1">
        <v>35492.127532002298</v>
      </c>
    </row>
    <row r="98" spans="1:12" x14ac:dyDescent="0.35">
      <c r="A98" t="s">
        <v>121</v>
      </c>
      <c r="B98" t="s">
        <v>28</v>
      </c>
      <c r="C98" t="s">
        <v>9</v>
      </c>
      <c r="D98" t="s">
        <v>10</v>
      </c>
      <c r="E98" s="3">
        <v>837535</v>
      </c>
      <c r="F98">
        <v>17780</v>
      </c>
      <c r="G98">
        <v>109</v>
      </c>
      <c r="H98" s="1">
        <v>0</v>
      </c>
      <c r="I98" s="1" t="s">
        <v>1102</v>
      </c>
      <c r="J98" t="s">
        <v>20</v>
      </c>
      <c r="K98" s="2">
        <v>132.58828800000001</v>
      </c>
      <c r="L98" s="1">
        <v>35132.5882879977</v>
      </c>
    </row>
    <row r="99" spans="1:12" x14ac:dyDescent="0.35">
      <c r="A99" t="s">
        <v>122</v>
      </c>
      <c r="B99" t="s">
        <v>1</v>
      </c>
      <c r="C99" t="s">
        <v>9</v>
      </c>
      <c r="D99" t="s">
        <v>14</v>
      </c>
      <c r="E99" s="3">
        <v>480166</v>
      </c>
      <c r="F99">
        <v>18107</v>
      </c>
      <c r="G99">
        <v>62</v>
      </c>
      <c r="H99" s="1">
        <v>0</v>
      </c>
      <c r="I99" s="1" t="s">
        <v>1102</v>
      </c>
      <c r="J99" t="s">
        <v>11</v>
      </c>
      <c r="K99" s="2">
        <v>297.60000000000002</v>
      </c>
      <c r="L99" s="1">
        <v>35297.599999999999</v>
      </c>
    </row>
    <row r="100" spans="1:12" x14ac:dyDescent="0.35">
      <c r="A100" t="s">
        <v>123</v>
      </c>
      <c r="B100" t="s">
        <v>28</v>
      </c>
      <c r="C100" t="s">
        <v>9</v>
      </c>
      <c r="D100" t="s">
        <v>14</v>
      </c>
      <c r="E100" s="3">
        <v>574594</v>
      </c>
      <c r="F100">
        <v>57740</v>
      </c>
      <c r="G100">
        <v>74</v>
      </c>
      <c r="H100" s="1">
        <v>36586</v>
      </c>
      <c r="I100" s="1" t="s">
        <v>1102</v>
      </c>
      <c r="J100" t="s">
        <v>11</v>
      </c>
      <c r="K100" s="2">
        <v>269.90512899999999</v>
      </c>
      <c r="L100" s="1">
        <v>35269.905129004597</v>
      </c>
    </row>
    <row r="101" spans="1:12" x14ac:dyDescent="0.35">
      <c r="A101" t="s">
        <v>124</v>
      </c>
      <c r="B101" t="s">
        <v>24</v>
      </c>
      <c r="C101" t="s">
        <v>9</v>
      </c>
      <c r="D101" t="s">
        <v>26</v>
      </c>
      <c r="E101" s="3">
        <v>606612</v>
      </c>
      <c r="F101">
        <v>32627</v>
      </c>
      <c r="G101">
        <v>76</v>
      </c>
      <c r="H101" s="1">
        <v>0</v>
      </c>
      <c r="I101" s="1" t="s">
        <v>1102</v>
      </c>
      <c r="J101" t="s">
        <v>17</v>
      </c>
      <c r="K101" s="2">
        <v>380.036697</v>
      </c>
      <c r="L101" s="1">
        <v>35380.036697002302</v>
      </c>
    </row>
    <row r="102" spans="1:12" x14ac:dyDescent="0.35">
      <c r="A102" t="s">
        <v>125</v>
      </c>
      <c r="B102" t="s">
        <v>1</v>
      </c>
      <c r="C102" t="s">
        <v>9</v>
      </c>
      <c r="D102" t="s">
        <v>26</v>
      </c>
      <c r="E102" s="3">
        <v>800231</v>
      </c>
      <c r="F102">
        <v>0</v>
      </c>
      <c r="G102">
        <v>107</v>
      </c>
      <c r="H102" s="1">
        <v>0</v>
      </c>
      <c r="I102" s="1" t="s">
        <v>1102</v>
      </c>
      <c r="J102" t="s">
        <v>20</v>
      </c>
      <c r="K102" s="2">
        <v>513.6</v>
      </c>
      <c r="L102" s="1">
        <v>35513.599999999999</v>
      </c>
    </row>
    <row r="103" spans="1:12" x14ac:dyDescent="0.35">
      <c r="A103" t="s">
        <v>126</v>
      </c>
      <c r="B103" t="s">
        <v>1</v>
      </c>
      <c r="C103" t="s">
        <v>9</v>
      </c>
      <c r="D103" t="s">
        <v>26</v>
      </c>
      <c r="E103" s="3">
        <v>239392</v>
      </c>
      <c r="F103">
        <v>0</v>
      </c>
      <c r="G103">
        <v>70</v>
      </c>
      <c r="H103" s="1">
        <v>0</v>
      </c>
      <c r="I103" s="1" t="s">
        <v>1102</v>
      </c>
      <c r="J103" t="s">
        <v>11</v>
      </c>
      <c r="K103" s="2">
        <v>425.26630799999998</v>
      </c>
      <c r="L103" s="1">
        <v>35425.266307997699</v>
      </c>
    </row>
    <row r="104" spans="1:12" x14ac:dyDescent="0.35">
      <c r="A104" t="s">
        <v>127</v>
      </c>
      <c r="B104" t="s">
        <v>24</v>
      </c>
      <c r="C104" t="s">
        <v>9</v>
      </c>
      <c r="D104" t="s">
        <v>14</v>
      </c>
      <c r="E104" s="3">
        <v>476282</v>
      </c>
      <c r="F104">
        <v>65795</v>
      </c>
      <c r="G104">
        <v>62</v>
      </c>
      <c r="H104" s="1">
        <v>36526</v>
      </c>
      <c r="I104" s="1" t="s">
        <v>1105</v>
      </c>
      <c r="J104" t="s">
        <v>17</v>
      </c>
      <c r="K104" s="2">
        <v>49.011099000000002</v>
      </c>
      <c r="L104" s="1">
        <v>35049.011099004601</v>
      </c>
    </row>
    <row r="105" spans="1:12" x14ac:dyDescent="0.35">
      <c r="A105" t="s">
        <v>128</v>
      </c>
      <c r="B105" t="s">
        <v>1</v>
      </c>
      <c r="C105" t="s">
        <v>9</v>
      </c>
      <c r="D105" t="s">
        <v>26</v>
      </c>
      <c r="E105" s="3">
        <v>433039</v>
      </c>
      <c r="F105">
        <v>60475</v>
      </c>
      <c r="G105">
        <v>107</v>
      </c>
      <c r="H105" s="1">
        <v>0</v>
      </c>
      <c r="I105" s="1" t="s">
        <v>1102</v>
      </c>
      <c r="J105" t="s">
        <v>11</v>
      </c>
      <c r="K105" s="2">
        <v>513.6</v>
      </c>
      <c r="L105" s="1">
        <v>35513.599999999999</v>
      </c>
    </row>
    <row r="106" spans="1:12" x14ac:dyDescent="0.35">
      <c r="A106" t="s">
        <v>129</v>
      </c>
      <c r="B106" t="s">
        <v>1</v>
      </c>
      <c r="C106" t="s">
        <v>9</v>
      </c>
      <c r="D106" t="s">
        <v>22</v>
      </c>
      <c r="E106" s="3">
        <v>940273</v>
      </c>
      <c r="F106">
        <v>0</v>
      </c>
      <c r="G106">
        <v>130</v>
      </c>
      <c r="H106" s="1">
        <v>0</v>
      </c>
      <c r="I106" s="1" t="s">
        <v>1102</v>
      </c>
      <c r="J106" t="s">
        <v>20</v>
      </c>
      <c r="K106" s="2">
        <v>936</v>
      </c>
      <c r="L106" s="1">
        <v>35936</v>
      </c>
    </row>
    <row r="107" spans="1:12" x14ac:dyDescent="0.35">
      <c r="A107" t="s">
        <v>130</v>
      </c>
      <c r="B107" t="s">
        <v>24</v>
      </c>
      <c r="C107" t="s">
        <v>9</v>
      </c>
      <c r="D107" t="s">
        <v>14</v>
      </c>
      <c r="E107" s="3">
        <v>696669</v>
      </c>
      <c r="F107">
        <v>41837</v>
      </c>
      <c r="G107">
        <v>88</v>
      </c>
      <c r="H107" s="1">
        <v>0</v>
      </c>
      <c r="I107" s="1" t="s">
        <v>1102</v>
      </c>
      <c r="J107" t="s">
        <v>11</v>
      </c>
      <c r="K107" s="2">
        <v>142.06276800000001</v>
      </c>
      <c r="L107" s="1">
        <v>35142.062767997697</v>
      </c>
    </row>
    <row r="108" spans="1:12" x14ac:dyDescent="0.35">
      <c r="A108" t="s">
        <v>131</v>
      </c>
      <c r="B108" t="s">
        <v>1</v>
      </c>
      <c r="C108" t="s">
        <v>9</v>
      </c>
      <c r="D108" t="s">
        <v>14</v>
      </c>
      <c r="E108" s="3">
        <v>769406</v>
      </c>
      <c r="F108">
        <v>32303</v>
      </c>
      <c r="G108">
        <v>65</v>
      </c>
      <c r="H108" s="1">
        <v>0</v>
      </c>
      <c r="I108" s="1" t="s">
        <v>1102</v>
      </c>
      <c r="J108" t="s">
        <v>11</v>
      </c>
      <c r="K108" s="2">
        <v>45.152521</v>
      </c>
      <c r="L108" s="1">
        <v>35045.152520995398</v>
      </c>
    </row>
    <row r="109" spans="1:12" x14ac:dyDescent="0.35">
      <c r="A109" t="s">
        <v>132</v>
      </c>
      <c r="B109" t="s">
        <v>24</v>
      </c>
      <c r="C109" t="s">
        <v>9</v>
      </c>
      <c r="D109" t="s">
        <v>22</v>
      </c>
      <c r="E109" s="3">
        <v>871756</v>
      </c>
      <c r="F109">
        <v>0</v>
      </c>
      <c r="G109">
        <v>117</v>
      </c>
      <c r="H109" s="1">
        <v>36526</v>
      </c>
      <c r="I109" s="1" t="s">
        <v>1102</v>
      </c>
      <c r="J109" t="s">
        <v>20</v>
      </c>
      <c r="K109" s="2">
        <v>561.6</v>
      </c>
      <c r="L109" s="1">
        <v>35561.599999999999</v>
      </c>
    </row>
    <row r="110" spans="1:12" x14ac:dyDescent="0.35">
      <c r="A110" t="s">
        <v>133</v>
      </c>
      <c r="B110" t="s">
        <v>1</v>
      </c>
      <c r="C110" t="s">
        <v>9</v>
      </c>
      <c r="D110" t="s">
        <v>14</v>
      </c>
      <c r="E110" s="3">
        <v>592875</v>
      </c>
      <c r="F110">
        <v>40531</v>
      </c>
      <c r="G110">
        <v>74</v>
      </c>
      <c r="H110" s="1">
        <v>0</v>
      </c>
      <c r="I110" s="1" t="s">
        <v>1102</v>
      </c>
      <c r="J110" t="s">
        <v>17</v>
      </c>
      <c r="K110" s="2">
        <v>30.567357000000001</v>
      </c>
      <c r="L110" s="1">
        <v>35030.567357002299</v>
      </c>
    </row>
    <row r="111" spans="1:12" x14ac:dyDescent="0.35">
      <c r="A111" t="s">
        <v>134</v>
      </c>
      <c r="B111" t="s">
        <v>24</v>
      </c>
      <c r="C111" t="s">
        <v>9</v>
      </c>
      <c r="D111" t="s">
        <v>26</v>
      </c>
      <c r="E111" s="3">
        <v>245298</v>
      </c>
      <c r="F111">
        <v>79898</v>
      </c>
      <c r="G111">
        <v>62</v>
      </c>
      <c r="H111" s="1">
        <v>36526</v>
      </c>
      <c r="I111" s="1" t="s">
        <v>1105</v>
      </c>
      <c r="J111" t="s">
        <v>11</v>
      </c>
      <c r="K111" s="2">
        <v>271.60679900000002</v>
      </c>
      <c r="L111" s="1">
        <v>35271.606799004599</v>
      </c>
    </row>
    <row r="112" spans="1:12" x14ac:dyDescent="0.35">
      <c r="A112" t="s">
        <v>135</v>
      </c>
      <c r="B112" t="s">
        <v>1</v>
      </c>
      <c r="C112" t="s">
        <v>9</v>
      </c>
      <c r="D112" t="s">
        <v>26</v>
      </c>
      <c r="E112" s="3">
        <v>670157</v>
      </c>
      <c r="F112">
        <v>56398</v>
      </c>
      <c r="G112">
        <v>85</v>
      </c>
      <c r="H112" s="1">
        <v>0</v>
      </c>
      <c r="I112" s="1" t="s">
        <v>1102</v>
      </c>
      <c r="J112" t="s">
        <v>11</v>
      </c>
      <c r="K112" s="2">
        <v>408</v>
      </c>
      <c r="L112" s="1">
        <v>35408</v>
      </c>
    </row>
    <row r="113" spans="1:12" x14ac:dyDescent="0.35">
      <c r="A113" t="s">
        <v>136</v>
      </c>
      <c r="B113" t="s">
        <v>8</v>
      </c>
      <c r="C113" t="s">
        <v>19</v>
      </c>
      <c r="D113" t="s">
        <v>22</v>
      </c>
      <c r="E113" s="3">
        <v>499655</v>
      </c>
      <c r="F113">
        <v>71600</v>
      </c>
      <c r="G113">
        <v>63</v>
      </c>
      <c r="H113" s="1">
        <v>0</v>
      </c>
      <c r="I113" s="1" t="s">
        <v>1102</v>
      </c>
      <c r="J113" t="s">
        <v>17</v>
      </c>
      <c r="K113" s="2">
        <v>46.158116999999997</v>
      </c>
      <c r="L113" s="1">
        <v>35046.158117002298</v>
      </c>
    </row>
    <row r="114" spans="1:12" x14ac:dyDescent="0.35">
      <c r="A114" t="s">
        <v>137</v>
      </c>
      <c r="B114" t="s">
        <v>28</v>
      </c>
      <c r="C114" t="s">
        <v>9</v>
      </c>
      <c r="D114" t="s">
        <v>26</v>
      </c>
      <c r="E114" s="3">
        <v>849270</v>
      </c>
      <c r="F114">
        <v>27804</v>
      </c>
      <c r="G114">
        <v>109</v>
      </c>
      <c r="H114" s="1">
        <v>0</v>
      </c>
      <c r="I114" s="1" t="s">
        <v>1102</v>
      </c>
      <c r="J114" t="s">
        <v>20</v>
      </c>
      <c r="K114" s="2">
        <v>784.8</v>
      </c>
      <c r="L114" s="1">
        <v>35784.800000000003</v>
      </c>
    </row>
    <row r="115" spans="1:12" x14ac:dyDescent="0.35">
      <c r="A115" t="s">
        <v>138</v>
      </c>
      <c r="B115" t="s">
        <v>24</v>
      </c>
      <c r="C115" t="s">
        <v>9</v>
      </c>
      <c r="D115" t="s">
        <v>14</v>
      </c>
      <c r="E115" s="3">
        <v>771349</v>
      </c>
      <c r="F115">
        <v>45506</v>
      </c>
      <c r="G115">
        <v>66</v>
      </c>
      <c r="H115" s="1">
        <v>36557</v>
      </c>
      <c r="I115" s="1" t="s">
        <v>1102</v>
      </c>
      <c r="J115" t="s">
        <v>11</v>
      </c>
      <c r="K115" s="2">
        <v>316.8</v>
      </c>
      <c r="L115" s="1">
        <v>35316.800000000003</v>
      </c>
    </row>
    <row r="116" spans="1:12" x14ac:dyDescent="0.35">
      <c r="A116" t="s">
        <v>139</v>
      </c>
      <c r="B116" t="s">
        <v>8</v>
      </c>
      <c r="C116" t="s">
        <v>13</v>
      </c>
      <c r="D116" t="s">
        <v>10</v>
      </c>
      <c r="E116" s="3">
        <v>518580</v>
      </c>
      <c r="F116">
        <v>99428</v>
      </c>
      <c r="G116">
        <v>6464</v>
      </c>
      <c r="H116" s="1">
        <v>36526</v>
      </c>
      <c r="I116" s="1" t="s">
        <v>1102</v>
      </c>
      <c r="J116" t="s">
        <v>11</v>
      </c>
      <c r="K116" s="2">
        <v>48.046869000000001</v>
      </c>
      <c r="L116" s="1">
        <v>35048.046869004596</v>
      </c>
    </row>
    <row r="117" spans="1:12" x14ac:dyDescent="0.35">
      <c r="A117" t="s">
        <v>140</v>
      </c>
      <c r="B117" t="s">
        <v>1</v>
      </c>
      <c r="C117" t="s">
        <v>9</v>
      </c>
      <c r="D117" t="s">
        <v>22</v>
      </c>
      <c r="E117" s="3">
        <v>729007</v>
      </c>
      <c r="F117">
        <v>0</v>
      </c>
      <c r="G117">
        <v>102</v>
      </c>
      <c r="H117" s="1">
        <v>36526</v>
      </c>
      <c r="I117" s="1" t="s">
        <v>1105</v>
      </c>
      <c r="J117" t="s">
        <v>20</v>
      </c>
      <c r="K117" s="2">
        <v>489.6</v>
      </c>
      <c r="L117" s="1">
        <v>35489.599999999999</v>
      </c>
    </row>
    <row r="118" spans="1:12" x14ac:dyDescent="0.35">
      <c r="A118" t="s">
        <v>141</v>
      </c>
      <c r="B118" t="s">
        <v>24</v>
      </c>
      <c r="C118" t="s">
        <v>9</v>
      </c>
      <c r="D118" t="s">
        <v>22</v>
      </c>
      <c r="E118" s="3">
        <v>477294</v>
      </c>
      <c r="F118">
        <v>20993</v>
      </c>
      <c r="G118">
        <v>133</v>
      </c>
      <c r="H118" s="1">
        <v>0</v>
      </c>
      <c r="I118" s="1" t="s">
        <v>1102</v>
      </c>
      <c r="J118" t="s">
        <v>20</v>
      </c>
      <c r="K118" s="2">
        <v>638.4</v>
      </c>
      <c r="L118" s="1">
        <v>35638.400000000001</v>
      </c>
    </row>
    <row r="119" spans="1:12" x14ac:dyDescent="0.35">
      <c r="A119" t="s">
        <v>142</v>
      </c>
      <c r="B119" t="s">
        <v>28</v>
      </c>
      <c r="C119" t="s">
        <v>9</v>
      </c>
      <c r="D119" t="s">
        <v>22</v>
      </c>
      <c r="E119" s="3">
        <v>680649</v>
      </c>
      <c r="F119">
        <v>37839</v>
      </c>
      <c r="G119">
        <v>86</v>
      </c>
      <c r="H119" s="1">
        <v>0</v>
      </c>
      <c r="I119" s="1" t="s">
        <v>1102</v>
      </c>
      <c r="J119" t="s">
        <v>17</v>
      </c>
      <c r="K119" s="2">
        <v>465.63395400000002</v>
      </c>
      <c r="L119" s="1">
        <v>35465.633954004603</v>
      </c>
    </row>
    <row r="120" spans="1:12" x14ac:dyDescent="0.35">
      <c r="A120" t="s">
        <v>143</v>
      </c>
      <c r="B120" t="s">
        <v>1</v>
      </c>
      <c r="C120" t="s">
        <v>9</v>
      </c>
      <c r="D120" t="s">
        <v>14</v>
      </c>
      <c r="E120" s="3">
        <v>246978</v>
      </c>
      <c r="F120">
        <v>92711</v>
      </c>
      <c r="G120">
        <v>62</v>
      </c>
      <c r="H120" s="1">
        <v>0</v>
      </c>
      <c r="I120" s="1" t="s">
        <v>1102</v>
      </c>
      <c r="J120" t="s">
        <v>17</v>
      </c>
      <c r="K120" s="2">
        <v>368.40014600000001</v>
      </c>
      <c r="L120" s="1">
        <v>35368.400145995402</v>
      </c>
    </row>
    <row r="121" spans="1:12" x14ac:dyDescent="0.35">
      <c r="A121" t="s">
        <v>144</v>
      </c>
      <c r="B121" t="s">
        <v>1</v>
      </c>
      <c r="C121" t="s">
        <v>9</v>
      </c>
      <c r="D121" t="s">
        <v>26</v>
      </c>
      <c r="E121" s="3">
        <v>310392</v>
      </c>
      <c r="F121">
        <v>74665</v>
      </c>
      <c r="G121">
        <v>78</v>
      </c>
      <c r="H121" s="1">
        <v>36557</v>
      </c>
      <c r="I121" s="1" t="s">
        <v>1105</v>
      </c>
      <c r="J121" t="s">
        <v>11</v>
      </c>
      <c r="K121" s="2">
        <v>236.90200100000001</v>
      </c>
      <c r="L121" s="1">
        <v>35236.902000995397</v>
      </c>
    </row>
    <row r="122" spans="1:12" x14ac:dyDescent="0.35">
      <c r="A122" t="s">
        <v>145</v>
      </c>
      <c r="B122" t="s">
        <v>8</v>
      </c>
      <c r="C122" t="s">
        <v>13</v>
      </c>
      <c r="D122" t="s">
        <v>26</v>
      </c>
      <c r="E122" s="3">
        <v>1048492</v>
      </c>
      <c r="F122">
        <v>61108</v>
      </c>
      <c r="G122">
        <v>89</v>
      </c>
      <c r="H122" s="1">
        <v>0</v>
      </c>
      <c r="I122" s="1" t="s">
        <v>1102</v>
      </c>
      <c r="J122" t="s">
        <v>11</v>
      </c>
      <c r="K122" s="2">
        <v>49.451117000000004</v>
      </c>
      <c r="L122" s="1">
        <v>35049.451117002303</v>
      </c>
    </row>
    <row r="123" spans="1:12" x14ac:dyDescent="0.35">
      <c r="A123" t="s">
        <v>146</v>
      </c>
      <c r="B123" t="s">
        <v>1</v>
      </c>
      <c r="C123" t="s">
        <v>9</v>
      </c>
      <c r="D123" t="s">
        <v>14</v>
      </c>
      <c r="E123" s="3">
        <v>890274</v>
      </c>
      <c r="F123">
        <v>46833</v>
      </c>
      <c r="G123">
        <v>112</v>
      </c>
      <c r="H123" s="1">
        <v>0</v>
      </c>
      <c r="I123" s="1" t="s">
        <v>1102</v>
      </c>
      <c r="J123" t="s">
        <v>66</v>
      </c>
      <c r="K123" s="2">
        <v>64.109662999999998</v>
      </c>
      <c r="L123" s="1">
        <v>35064.109662997696</v>
      </c>
    </row>
    <row r="124" spans="1:12" x14ac:dyDescent="0.35">
      <c r="A124" t="s">
        <v>147</v>
      </c>
      <c r="B124" t="s">
        <v>24</v>
      </c>
      <c r="C124" t="s">
        <v>9</v>
      </c>
      <c r="D124" t="s">
        <v>22</v>
      </c>
      <c r="E124" s="3">
        <v>549945</v>
      </c>
      <c r="F124">
        <v>88768</v>
      </c>
      <c r="G124">
        <v>68</v>
      </c>
      <c r="H124" s="1">
        <v>0</v>
      </c>
      <c r="I124" s="1" t="s">
        <v>1102</v>
      </c>
      <c r="J124" t="s">
        <v>17</v>
      </c>
      <c r="K124" s="2">
        <v>326.39999999999998</v>
      </c>
      <c r="L124" s="1">
        <v>35326.400000000001</v>
      </c>
    </row>
    <row r="125" spans="1:12" x14ac:dyDescent="0.35">
      <c r="A125" t="s">
        <v>148</v>
      </c>
      <c r="B125" t="s">
        <v>1</v>
      </c>
      <c r="C125" t="s">
        <v>9</v>
      </c>
      <c r="D125" t="s">
        <v>22</v>
      </c>
      <c r="E125" s="3">
        <v>1502360</v>
      </c>
      <c r="F125">
        <v>28262</v>
      </c>
      <c r="G125">
        <v>192</v>
      </c>
      <c r="H125" s="1">
        <v>0</v>
      </c>
      <c r="I125" s="1" t="s">
        <v>1102</v>
      </c>
      <c r="J125" t="s">
        <v>53</v>
      </c>
      <c r="K125" s="2">
        <v>921.6</v>
      </c>
      <c r="L125" s="1">
        <v>35921.599999999999</v>
      </c>
    </row>
    <row r="126" spans="1:12" x14ac:dyDescent="0.35">
      <c r="A126" t="s">
        <v>149</v>
      </c>
      <c r="B126" t="s">
        <v>16</v>
      </c>
      <c r="C126" t="s">
        <v>9</v>
      </c>
      <c r="D126" t="s">
        <v>14</v>
      </c>
      <c r="E126" s="3">
        <v>250911</v>
      </c>
      <c r="F126">
        <v>33555</v>
      </c>
      <c r="G126">
        <v>63</v>
      </c>
      <c r="H126" s="1">
        <v>0</v>
      </c>
      <c r="I126" s="1" t="s">
        <v>1102</v>
      </c>
      <c r="J126" t="s">
        <v>11</v>
      </c>
      <c r="K126" s="2">
        <v>101.89645</v>
      </c>
      <c r="L126" s="1">
        <v>35101.89645</v>
      </c>
    </row>
    <row r="127" spans="1:12" x14ac:dyDescent="0.35">
      <c r="A127" t="s">
        <v>150</v>
      </c>
      <c r="B127" t="s">
        <v>24</v>
      </c>
      <c r="C127" t="s">
        <v>9</v>
      </c>
      <c r="D127" t="s">
        <v>26</v>
      </c>
      <c r="E127" s="3">
        <v>3122175</v>
      </c>
      <c r="F127">
        <v>42780</v>
      </c>
      <c r="G127">
        <v>113</v>
      </c>
      <c r="H127" s="1">
        <v>36526</v>
      </c>
      <c r="I127" s="1" t="s">
        <v>1102</v>
      </c>
      <c r="J127" t="s">
        <v>11</v>
      </c>
      <c r="K127" s="2">
        <v>542.4</v>
      </c>
      <c r="L127" s="1">
        <v>35542.400000000001</v>
      </c>
    </row>
    <row r="128" spans="1:12" x14ac:dyDescent="0.35">
      <c r="A128" t="s">
        <v>151</v>
      </c>
      <c r="B128" t="s">
        <v>24</v>
      </c>
      <c r="C128" t="s">
        <v>9</v>
      </c>
      <c r="D128" t="s">
        <v>10</v>
      </c>
      <c r="E128" s="3">
        <v>313350</v>
      </c>
      <c r="F128">
        <v>58850</v>
      </c>
      <c r="G128">
        <v>78</v>
      </c>
      <c r="H128" s="1">
        <v>0</v>
      </c>
      <c r="I128" s="1" t="s">
        <v>1102</v>
      </c>
      <c r="J128" t="s">
        <v>11</v>
      </c>
      <c r="K128" s="2">
        <v>143.747794</v>
      </c>
      <c r="L128" s="1">
        <v>35143.747794004601</v>
      </c>
    </row>
    <row r="129" spans="1:12" x14ac:dyDescent="0.35">
      <c r="A129" t="s">
        <v>152</v>
      </c>
      <c r="B129" t="s">
        <v>28</v>
      </c>
      <c r="C129" t="s">
        <v>9</v>
      </c>
      <c r="D129" t="s">
        <v>26</v>
      </c>
      <c r="E129" s="3">
        <v>383745</v>
      </c>
      <c r="F129">
        <v>21880</v>
      </c>
      <c r="G129">
        <v>97</v>
      </c>
      <c r="H129" s="1">
        <v>0</v>
      </c>
      <c r="I129" s="1" t="s">
        <v>1112</v>
      </c>
      <c r="J129" t="s">
        <v>11</v>
      </c>
      <c r="K129" s="2">
        <v>424.07715899999999</v>
      </c>
      <c r="L129" s="1">
        <v>35424.077159004599</v>
      </c>
    </row>
    <row r="130" spans="1:12" x14ac:dyDescent="0.35">
      <c r="A130" t="s">
        <v>153</v>
      </c>
      <c r="B130" t="s">
        <v>24</v>
      </c>
      <c r="C130" t="s">
        <v>9</v>
      </c>
      <c r="D130" t="s">
        <v>26</v>
      </c>
      <c r="E130" s="3">
        <v>1179050</v>
      </c>
      <c r="F130">
        <v>25251</v>
      </c>
      <c r="G130">
        <v>66</v>
      </c>
      <c r="H130" s="1">
        <v>0</v>
      </c>
      <c r="I130" s="1" t="s">
        <v>1102</v>
      </c>
      <c r="J130" t="s">
        <v>11</v>
      </c>
      <c r="K130" s="2">
        <v>316.8</v>
      </c>
      <c r="L130" s="1">
        <v>35316.800000000003</v>
      </c>
    </row>
    <row r="131" spans="1:12" x14ac:dyDescent="0.35">
      <c r="A131" t="s">
        <v>154</v>
      </c>
      <c r="B131" t="s">
        <v>8</v>
      </c>
      <c r="C131" t="s">
        <v>13</v>
      </c>
      <c r="D131" t="s">
        <v>22</v>
      </c>
      <c r="E131" s="3">
        <v>282986</v>
      </c>
      <c r="F131">
        <v>25317</v>
      </c>
      <c r="G131">
        <v>71</v>
      </c>
      <c r="H131" s="1">
        <v>0</v>
      </c>
      <c r="I131" s="1" t="s">
        <v>1102</v>
      </c>
      <c r="J131" t="s">
        <v>17</v>
      </c>
      <c r="K131" s="2">
        <v>50.422181000000002</v>
      </c>
      <c r="L131" s="1">
        <v>35050.422180995403</v>
      </c>
    </row>
    <row r="132" spans="1:12" x14ac:dyDescent="0.35">
      <c r="A132" t="s">
        <v>155</v>
      </c>
      <c r="B132" t="s">
        <v>28</v>
      </c>
      <c r="C132" t="s">
        <v>9</v>
      </c>
      <c r="D132" t="s">
        <v>22</v>
      </c>
      <c r="E132" s="3">
        <v>430581</v>
      </c>
      <c r="F132">
        <v>24188</v>
      </c>
      <c r="G132">
        <v>109</v>
      </c>
      <c r="H132" s="1">
        <v>0</v>
      </c>
      <c r="I132" s="1" t="s">
        <v>1102</v>
      </c>
      <c r="J132" t="s">
        <v>66</v>
      </c>
      <c r="K132" s="2">
        <v>523.20000000000005</v>
      </c>
      <c r="L132" s="1">
        <v>35523.199999999997</v>
      </c>
    </row>
    <row r="133" spans="1:12" x14ac:dyDescent="0.35">
      <c r="A133" t="s">
        <v>156</v>
      </c>
      <c r="B133" t="s">
        <v>16</v>
      </c>
      <c r="C133" t="s">
        <v>9</v>
      </c>
      <c r="D133" t="s">
        <v>14</v>
      </c>
      <c r="E133" s="3">
        <v>597398</v>
      </c>
      <c r="F133">
        <v>41611</v>
      </c>
      <c r="G133">
        <v>74</v>
      </c>
      <c r="H133" s="1">
        <v>0</v>
      </c>
      <c r="I133" s="1" t="s">
        <v>1112</v>
      </c>
      <c r="J133" t="s">
        <v>11</v>
      </c>
      <c r="K133" s="2">
        <v>113.801497</v>
      </c>
      <c r="L133" s="1">
        <v>35113.8014970023</v>
      </c>
    </row>
    <row r="134" spans="1:12" x14ac:dyDescent="0.35">
      <c r="A134" t="s">
        <v>157</v>
      </c>
      <c r="B134" t="s">
        <v>24</v>
      </c>
      <c r="C134" t="s">
        <v>9</v>
      </c>
      <c r="D134" t="s">
        <v>14</v>
      </c>
      <c r="E134" s="3">
        <v>567044</v>
      </c>
      <c r="F134">
        <v>28406</v>
      </c>
      <c r="G134">
        <v>72</v>
      </c>
      <c r="H134" s="1">
        <v>36526</v>
      </c>
      <c r="I134" s="1" t="s">
        <v>1102</v>
      </c>
      <c r="J134" t="s">
        <v>11</v>
      </c>
      <c r="K134" s="2">
        <v>192.87572</v>
      </c>
      <c r="L134" s="1">
        <v>35192.875719999996</v>
      </c>
    </row>
    <row r="135" spans="1:12" x14ac:dyDescent="0.35">
      <c r="A135" t="s">
        <v>158</v>
      </c>
      <c r="B135" t="s">
        <v>28</v>
      </c>
      <c r="C135" t="s">
        <v>9</v>
      </c>
      <c r="D135" t="s">
        <v>26</v>
      </c>
      <c r="E135" s="3">
        <v>473175</v>
      </c>
      <c r="F135">
        <v>69833</v>
      </c>
      <c r="G135">
        <v>118</v>
      </c>
      <c r="H135" s="1">
        <v>0</v>
      </c>
      <c r="I135" s="1" t="s">
        <v>1102</v>
      </c>
      <c r="J135" t="s">
        <v>11</v>
      </c>
      <c r="K135" s="2">
        <v>828.66271900000004</v>
      </c>
      <c r="L135" s="1">
        <v>35828.662719004598</v>
      </c>
    </row>
    <row r="136" spans="1:12" x14ac:dyDescent="0.35">
      <c r="A136" t="s">
        <v>159</v>
      </c>
      <c r="B136" t="s">
        <v>28</v>
      </c>
      <c r="C136" t="s">
        <v>9</v>
      </c>
      <c r="D136" t="s">
        <v>22</v>
      </c>
      <c r="E136" s="3">
        <v>802638</v>
      </c>
      <c r="F136">
        <v>0</v>
      </c>
      <c r="G136">
        <v>74</v>
      </c>
      <c r="H136" s="1">
        <v>0</v>
      </c>
      <c r="I136" s="1" t="s">
        <v>1105</v>
      </c>
      <c r="J136" t="s">
        <v>11</v>
      </c>
      <c r="K136" s="2">
        <v>532.79999999999995</v>
      </c>
      <c r="L136" s="1">
        <v>35532.800000000003</v>
      </c>
    </row>
    <row r="137" spans="1:12" x14ac:dyDescent="0.35">
      <c r="A137" t="s">
        <v>160</v>
      </c>
      <c r="B137" t="s">
        <v>28</v>
      </c>
      <c r="C137" t="s">
        <v>9</v>
      </c>
      <c r="D137" t="s">
        <v>22</v>
      </c>
      <c r="E137" s="3">
        <v>402296</v>
      </c>
      <c r="F137">
        <v>0</v>
      </c>
      <c r="G137">
        <v>117</v>
      </c>
      <c r="H137" s="1">
        <v>0</v>
      </c>
      <c r="I137" s="1" t="s">
        <v>1102</v>
      </c>
      <c r="J137" t="s">
        <v>20</v>
      </c>
      <c r="K137" s="2">
        <v>975.10709799999995</v>
      </c>
      <c r="L137" s="1">
        <v>35975.107097997701</v>
      </c>
    </row>
    <row r="138" spans="1:12" x14ac:dyDescent="0.35">
      <c r="A138" t="s">
        <v>161</v>
      </c>
      <c r="B138" t="s">
        <v>24</v>
      </c>
      <c r="C138" t="s">
        <v>9</v>
      </c>
      <c r="D138" t="s">
        <v>22</v>
      </c>
      <c r="E138" s="3">
        <v>961831</v>
      </c>
      <c r="F138">
        <v>80536</v>
      </c>
      <c r="G138">
        <v>119</v>
      </c>
      <c r="H138" s="1">
        <v>0</v>
      </c>
      <c r="I138" s="1" t="s">
        <v>1112</v>
      </c>
      <c r="J138" t="s">
        <v>66</v>
      </c>
      <c r="K138" s="2">
        <v>53.798707999999998</v>
      </c>
      <c r="L138" s="1">
        <v>35053.798707997703</v>
      </c>
    </row>
    <row r="139" spans="1:12" x14ac:dyDescent="0.35">
      <c r="A139" t="s">
        <v>162</v>
      </c>
      <c r="B139" t="s">
        <v>8</v>
      </c>
      <c r="C139" t="s">
        <v>13</v>
      </c>
      <c r="D139" t="s">
        <v>14</v>
      </c>
      <c r="E139" s="3">
        <v>725595</v>
      </c>
      <c r="F139">
        <v>88891</v>
      </c>
      <c r="G139">
        <v>89</v>
      </c>
      <c r="H139" s="1">
        <v>0</v>
      </c>
      <c r="I139" s="1" t="s">
        <v>1102</v>
      </c>
      <c r="J139" t="s">
        <v>11</v>
      </c>
      <c r="K139" s="2">
        <v>50.528354999999998</v>
      </c>
      <c r="L139" s="1">
        <v>35050.528355000002</v>
      </c>
    </row>
    <row r="140" spans="1:12" x14ac:dyDescent="0.35">
      <c r="A140" t="s">
        <v>163</v>
      </c>
      <c r="B140" t="s">
        <v>24</v>
      </c>
      <c r="C140" t="s">
        <v>9</v>
      </c>
      <c r="D140" t="s">
        <v>26</v>
      </c>
      <c r="E140" s="3">
        <v>955293</v>
      </c>
      <c r="F140">
        <v>97732</v>
      </c>
      <c r="G140">
        <v>79</v>
      </c>
      <c r="H140" s="1">
        <v>0</v>
      </c>
      <c r="I140" s="1" t="s">
        <v>1102</v>
      </c>
      <c r="J140" t="s">
        <v>11</v>
      </c>
      <c r="K140" s="2">
        <v>289.91219999999998</v>
      </c>
      <c r="L140" s="1">
        <v>35289.912199999999</v>
      </c>
    </row>
    <row r="141" spans="1:12" x14ac:dyDescent="0.35">
      <c r="A141" t="s">
        <v>164</v>
      </c>
      <c r="B141" t="s">
        <v>28</v>
      </c>
      <c r="C141" t="s">
        <v>13</v>
      </c>
      <c r="D141" t="s">
        <v>14</v>
      </c>
      <c r="E141" s="3">
        <v>1038855</v>
      </c>
      <c r="F141">
        <v>61222</v>
      </c>
      <c r="G141">
        <v>89</v>
      </c>
      <c r="H141" s="1">
        <v>0</v>
      </c>
      <c r="I141" s="1" t="s">
        <v>1112</v>
      </c>
      <c r="J141" t="s">
        <v>11</v>
      </c>
      <c r="K141" s="2">
        <v>392.60437100000001</v>
      </c>
      <c r="L141" s="1">
        <v>35392.604370995403</v>
      </c>
    </row>
    <row r="142" spans="1:12" x14ac:dyDescent="0.35">
      <c r="A142" t="s">
        <v>165</v>
      </c>
      <c r="B142" t="s">
        <v>24</v>
      </c>
      <c r="C142" t="s">
        <v>19</v>
      </c>
      <c r="D142" t="s">
        <v>26</v>
      </c>
      <c r="E142" s="3">
        <v>247012</v>
      </c>
      <c r="F142">
        <v>0</v>
      </c>
      <c r="G142">
        <v>74</v>
      </c>
      <c r="H142" s="1">
        <v>0</v>
      </c>
      <c r="I142" s="1" t="s">
        <v>1102</v>
      </c>
      <c r="J142" t="s">
        <v>17</v>
      </c>
      <c r="K142" s="2">
        <v>721.24220600000001</v>
      </c>
      <c r="L142" s="1">
        <v>35721.242205995397</v>
      </c>
    </row>
    <row r="143" spans="1:12" x14ac:dyDescent="0.35">
      <c r="A143" t="s">
        <v>166</v>
      </c>
      <c r="B143" t="s">
        <v>28</v>
      </c>
      <c r="C143" t="s">
        <v>19</v>
      </c>
      <c r="D143" t="s">
        <v>10</v>
      </c>
      <c r="E143" s="3">
        <v>561907</v>
      </c>
      <c r="F143">
        <v>50335</v>
      </c>
      <c r="G143">
        <v>140</v>
      </c>
      <c r="H143" s="1">
        <v>0</v>
      </c>
      <c r="I143" s="1" t="s">
        <v>1102</v>
      </c>
      <c r="J143" t="s">
        <v>20</v>
      </c>
      <c r="K143" s="2">
        <v>456.52384999999998</v>
      </c>
      <c r="L143" s="1">
        <v>35456.523849999998</v>
      </c>
    </row>
    <row r="144" spans="1:12" x14ac:dyDescent="0.35">
      <c r="A144" t="s">
        <v>167</v>
      </c>
      <c r="B144" t="s">
        <v>1</v>
      </c>
      <c r="C144" t="s">
        <v>13</v>
      </c>
      <c r="D144" t="s">
        <v>22</v>
      </c>
      <c r="E144" s="3">
        <v>904712</v>
      </c>
      <c r="F144">
        <v>0</v>
      </c>
      <c r="G144">
        <v>127</v>
      </c>
      <c r="H144" s="1">
        <v>0</v>
      </c>
      <c r="I144" s="1" t="s">
        <v>1102</v>
      </c>
      <c r="J144" t="s">
        <v>66</v>
      </c>
      <c r="K144" s="2">
        <v>1087.995426</v>
      </c>
      <c r="L144" s="1">
        <v>36087.995425995403</v>
      </c>
    </row>
    <row r="145" spans="1:12" x14ac:dyDescent="0.35">
      <c r="A145" t="s">
        <v>168</v>
      </c>
      <c r="B145" t="s">
        <v>8</v>
      </c>
      <c r="C145" t="s">
        <v>13</v>
      </c>
      <c r="D145" t="s">
        <v>68</v>
      </c>
      <c r="E145" s="3">
        <v>268731</v>
      </c>
      <c r="F145">
        <v>82210</v>
      </c>
      <c r="G145">
        <v>68</v>
      </c>
      <c r="H145" s="1">
        <v>36617</v>
      </c>
      <c r="I145" s="1" t="s">
        <v>1102</v>
      </c>
      <c r="J145" t="s">
        <v>11</v>
      </c>
      <c r="K145" s="2">
        <v>51.961914999999998</v>
      </c>
      <c r="L145" s="1">
        <v>35051.961915</v>
      </c>
    </row>
    <row r="146" spans="1:12" x14ac:dyDescent="0.35">
      <c r="A146" t="s">
        <v>169</v>
      </c>
      <c r="B146" t="s">
        <v>24</v>
      </c>
      <c r="C146" t="s">
        <v>13</v>
      </c>
      <c r="D146" t="s">
        <v>22</v>
      </c>
      <c r="E146" s="3">
        <v>373150</v>
      </c>
      <c r="F146">
        <v>0</v>
      </c>
      <c r="G146">
        <v>96</v>
      </c>
      <c r="H146" s="1">
        <v>0</v>
      </c>
      <c r="I146" s="1" t="s">
        <v>1102</v>
      </c>
      <c r="J146" t="s">
        <v>11</v>
      </c>
      <c r="K146" s="2">
        <v>460.8</v>
      </c>
      <c r="L146" s="1">
        <v>35460.800000000003</v>
      </c>
    </row>
    <row r="147" spans="1:12" x14ac:dyDescent="0.35">
      <c r="A147" t="s">
        <v>170</v>
      </c>
      <c r="B147" t="s">
        <v>16</v>
      </c>
      <c r="C147" t="s">
        <v>19</v>
      </c>
      <c r="D147" t="s">
        <v>14</v>
      </c>
      <c r="E147" s="3">
        <v>366077</v>
      </c>
      <c r="F147">
        <v>64495</v>
      </c>
      <c r="G147">
        <v>92</v>
      </c>
      <c r="H147" s="1">
        <v>0</v>
      </c>
      <c r="I147" s="1" t="s">
        <v>1105</v>
      </c>
      <c r="J147" t="s">
        <v>11</v>
      </c>
      <c r="K147" s="2">
        <v>251.99208300000001</v>
      </c>
      <c r="L147" s="1">
        <v>35251.992082997698</v>
      </c>
    </row>
    <row r="148" spans="1:12" x14ac:dyDescent="0.35">
      <c r="A148" t="s">
        <v>171</v>
      </c>
      <c r="B148" t="s">
        <v>1</v>
      </c>
      <c r="C148" t="s">
        <v>13</v>
      </c>
      <c r="D148" t="s">
        <v>26</v>
      </c>
      <c r="E148" s="3">
        <v>792883</v>
      </c>
      <c r="F148">
        <v>0</v>
      </c>
      <c r="G148">
        <v>72</v>
      </c>
      <c r="H148" s="1">
        <v>0</v>
      </c>
      <c r="I148" s="1" t="s">
        <v>1105</v>
      </c>
      <c r="J148" t="s">
        <v>11</v>
      </c>
      <c r="K148" s="2">
        <v>345.6</v>
      </c>
      <c r="L148" s="1">
        <v>35345.599999999999</v>
      </c>
    </row>
    <row r="149" spans="1:12" x14ac:dyDescent="0.35">
      <c r="A149" t="s">
        <v>172</v>
      </c>
      <c r="B149" t="s">
        <v>28</v>
      </c>
      <c r="C149" t="s">
        <v>13</v>
      </c>
      <c r="D149" t="s">
        <v>14</v>
      </c>
      <c r="E149" s="3">
        <v>501175</v>
      </c>
      <c r="F149">
        <v>28859</v>
      </c>
      <c r="G149">
        <v>67</v>
      </c>
      <c r="H149" s="1">
        <v>36586</v>
      </c>
      <c r="I149" s="1" t="s">
        <v>1105</v>
      </c>
      <c r="J149" t="s">
        <v>17</v>
      </c>
      <c r="K149" s="2">
        <v>321.60000000000002</v>
      </c>
      <c r="L149" s="1">
        <v>35321.599999999999</v>
      </c>
    </row>
    <row r="150" spans="1:12" x14ac:dyDescent="0.35">
      <c r="A150" t="s">
        <v>173</v>
      </c>
      <c r="B150" t="s">
        <v>28</v>
      </c>
      <c r="C150" t="s">
        <v>13</v>
      </c>
      <c r="D150" t="s">
        <v>22</v>
      </c>
      <c r="E150" s="3">
        <v>798826</v>
      </c>
      <c r="F150">
        <v>77330</v>
      </c>
      <c r="G150">
        <v>99</v>
      </c>
      <c r="H150" s="1">
        <v>0</v>
      </c>
      <c r="I150" s="1" t="s">
        <v>1102</v>
      </c>
      <c r="J150" t="s">
        <v>11</v>
      </c>
      <c r="K150" s="2">
        <v>99.257608000000005</v>
      </c>
      <c r="L150" s="1">
        <v>35099.257607997701</v>
      </c>
    </row>
    <row r="151" spans="1:12" x14ac:dyDescent="0.35">
      <c r="A151" t="s">
        <v>174</v>
      </c>
      <c r="B151" t="s">
        <v>24</v>
      </c>
      <c r="C151" t="s">
        <v>19</v>
      </c>
      <c r="D151" t="s">
        <v>26</v>
      </c>
      <c r="E151" s="3">
        <v>388546</v>
      </c>
      <c r="F151">
        <v>0</v>
      </c>
      <c r="G151">
        <v>105</v>
      </c>
      <c r="H151" s="1">
        <v>0</v>
      </c>
      <c r="I151" s="1" t="s">
        <v>1105</v>
      </c>
      <c r="J151" t="s">
        <v>11</v>
      </c>
      <c r="K151" s="2">
        <v>504</v>
      </c>
      <c r="L151" s="1">
        <v>35504</v>
      </c>
    </row>
    <row r="152" spans="1:12" x14ac:dyDescent="0.35">
      <c r="A152" t="s">
        <v>175</v>
      </c>
      <c r="B152" t="s">
        <v>8</v>
      </c>
      <c r="C152" t="s">
        <v>13</v>
      </c>
      <c r="D152" t="s">
        <v>22</v>
      </c>
      <c r="E152" s="3">
        <v>935774</v>
      </c>
      <c r="F152">
        <v>33060</v>
      </c>
      <c r="G152">
        <v>117</v>
      </c>
      <c r="H152" s="1">
        <v>0</v>
      </c>
      <c r="I152" s="1" t="s">
        <v>1102</v>
      </c>
      <c r="J152" t="s">
        <v>11</v>
      </c>
      <c r="K152" s="2">
        <v>56.731577999999999</v>
      </c>
      <c r="L152" s="1">
        <v>35056.7315779977</v>
      </c>
    </row>
    <row r="153" spans="1:12" x14ac:dyDescent="0.35">
      <c r="A153" t="s">
        <v>176</v>
      </c>
      <c r="B153" t="s">
        <v>8</v>
      </c>
      <c r="C153" t="s">
        <v>19</v>
      </c>
      <c r="D153" t="s">
        <v>10</v>
      </c>
      <c r="E153" s="3">
        <v>254069</v>
      </c>
      <c r="F153">
        <v>42557</v>
      </c>
      <c r="G153">
        <v>65</v>
      </c>
      <c r="H153" s="1">
        <v>0</v>
      </c>
      <c r="I153" s="1" t="s">
        <v>1102</v>
      </c>
      <c r="J153" t="s">
        <v>11</v>
      </c>
      <c r="K153" s="2">
        <v>57.562323999999997</v>
      </c>
      <c r="L153" s="1">
        <v>35057.562324004597</v>
      </c>
    </row>
    <row r="154" spans="1:12" x14ac:dyDescent="0.35">
      <c r="A154" t="s">
        <v>177</v>
      </c>
      <c r="B154" t="s">
        <v>28</v>
      </c>
      <c r="C154" t="s">
        <v>19</v>
      </c>
      <c r="D154" t="s">
        <v>22</v>
      </c>
      <c r="E154" s="3">
        <v>488516</v>
      </c>
      <c r="F154">
        <v>26372</v>
      </c>
      <c r="G154">
        <v>126</v>
      </c>
      <c r="H154" s="1">
        <v>0</v>
      </c>
      <c r="I154" s="1" t="s">
        <v>1102</v>
      </c>
      <c r="J154" t="s">
        <v>20</v>
      </c>
      <c r="K154" s="2">
        <v>604.79999999999995</v>
      </c>
      <c r="L154" s="1">
        <v>35604.800000000003</v>
      </c>
    </row>
    <row r="155" spans="1:12" x14ac:dyDescent="0.35">
      <c r="A155" t="s">
        <v>178</v>
      </c>
      <c r="B155" t="s">
        <v>28</v>
      </c>
      <c r="C155" t="s">
        <v>13</v>
      </c>
      <c r="D155" t="s">
        <v>14</v>
      </c>
      <c r="E155" s="3">
        <v>975331</v>
      </c>
      <c r="F155">
        <v>17514</v>
      </c>
      <c r="G155">
        <v>127</v>
      </c>
      <c r="H155" s="1">
        <v>0</v>
      </c>
      <c r="I155" s="1" t="s">
        <v>1102</v>
      </c>
      <c r="J155" t="s">
        <v>20</v>
      </c>
      <c r="K155" s="2">
        <v>8.3127289999999991</v>
      </c>
      <c r="L155" s="1">
        <v>35008.312729004603</v>
      </c>
    </row>
    <row r="156" spans="1:12" x14ac:dyDescent="0.35">
      <c r="A156" t="s">
        <v>179</v>
      </c>
      <c r="B156" t="s">
        <v>1</v>
      </c>
      <c r="C156" t="s">
        <v>13</v>
      </c>
      <c r="D156" t="s">
        <v>14</v>
      </c>
      <c r="E156" s="3">
        <v>294615</v>
      </c>
      <c r="F156">
        <v>89270</v>
      </c>
      <c r="G156">
        <v>74</v>
      </c>
      <c r="H156" s="1">
        <v>0</v>
      </c>
      <c r="I156" s="1" t="s">
        <v>1102</v>
      </c>
      <c r="J156" t="s">
        <v>11</v>
      </c>
      <c r="K156" s="2">
        <v>316.59922799999998</v>
      </c>
      <c r="L156" s="1">
        <v>35316.5992279977</v>
      </c>
    </row>
    <row r="157" spans="1:12" x14ac:dyDescent="0.35">
      <c r="A157" t="s">
        <v>180</v>
      </c>
      <c r="B157" t="s">
        <v>1</v>
      </c>
      <c r="C157" t="s">
        <v>19</v>
      </c>
      <c r="D157" t="s">
        <v>22</v>
      </c>
      <c r="E157" s="3">
        <v>258111</v>
      </c>
      <c r="F157">
        <v>29757</v>
      </c>
      <c r="G157">
        <v>65</v>
      </c>
      <c r="H157" s="1">
        <v>0</v>
      </c>
      <c r="I157" s="1" t="s">
        <v>1102</v>
      </c>
      <c r="J157" t="s">
        <v>11</v>
      </c>
      <c r="K157" s="2">
        <v>312</v>
      </c>
      <c r="L157" s="1">
        <v>35312</v>
      </c>
    </row>
    <row r="158" spans="1:12" x14ac:dyDescent="0.35">
      <c r="A158" t="s">
        <v>181</v>
      </c>
      <c r="B158" t="s">
        <v>24</v>
      </c>
      <c r="C158" t="s">
        <v>19</v>
      </c>
      <c r="D158" t="s">
        <v>26</v>
      </c>
      <c r="E158" s="3">
        <v>351739</v>
      </c>
      <c r="F158">
        <v>51814</v>
      </c>
      <c r="G158">
        <v>92</v>
      </c>
      <c r="H158" s="1">
        <v>0</v>
      </c>
      <c r="I158" s="1" t="s">
        <v>1102</v>
      </c>
      <c r="J158" t="s">
        <v>11</v>
      </c>
      <c r="K158" s="2">
        <v>56.300724000000002</v>
      </c>
      <c r="L158" s="1">
        <v>35056.300724004599</v>
      </c>
    </row>
    <row r="159" spans="1:12" x14ac:dyDescent="0.35">
      <c r="A159" t="s">
        <v>182</v>
      </c>
      <c r="B159" t="s">
        <v>24</v>
      </c>
      <c r="C159" t="s">
        <v>13</v>
      </c>
      <c r="D159" t="s">
        <v>14</v>
      </c>
      <c r="E159" s="3">
        <v>974335</v>
      </c>
      <c r="F159">
        <v>24028</v>
      </c>
      <c r="G159">
        <v>82</v>
      </c>
      <c r="H159" s="1">
        <v>0</v>
      </c>
      <c r="I159" s="1" t="s">
        <v>1102</v>
      </c>
      <c r="J159" t="s">
        <v>11</v>
      </c>
      <c r="K159" s="2">
        <v>393.6</v>
      </c>
      <c r="L159" s="1">
        <v>35393.599999999999</v>
      </c>
    </row>
    <row r="160" spans="1:12" x14ac:dyDescent="0.35">
      <c r="A160" t="s">
        <v>183</v>
      </c>
      <c r="B160" t="s">
        <v>28</v>
      </c>
      <c r="C160" t="s">
        <v>19</v>
      </c>
      <c r="D160" t="s">
        <v>26</v>
      </c>
      <c r="E160" s="3">
        <v>387365</v>
      </c>
      <c r="F160">
        <v>28142</v>
      </c>
      <c r="G160">
        <v>105</v>
      </c>
      <c r="H160" s="1">
        <v>0</v>
      </c>
      <c r="I160" s="1" t="s">
        <v>1102</v>
      </c>
      <c r="J160" t="s">
        <v>66</v>
      </c>
      <c r="K160" s="2">
        <v>701.70823900000005</v>
      </c>
      <c r="L160" s="1">
        <v>35701.708239004598</v>
      </c>
    </row>
    <row r="161" spans="1:12" x14ac:dyDescent="0.35">
      <c r="A161" t="s">
        <v>184</v>
      </c>
      <c r="B161" t="s">
        <v>28</v>
      </c>
      <c r="C161" t="s">
        <v>13</v>
      </c>
      <c r="D161" t="s">
        <v>14</v>
      </c>
      <c r="E161" s="3">
        <v>764928</v>
      </c>
      <c r="F161">
        <v>52705</v>
      </c>
      <c r="G161">
        <v>64</v>
      </c>
      <c r="H161" s="1">
        <v>36526</v>
      </c>
      <c r="I161" s="1" t="s">
        <v>1102</v>
      </c>
      <c r="J161" t="s">
        <v>17</v>
      </c>
      <c r="K161" s="2">
        <v>128.70556300000001</v>
      </c>
      <c r="L161" s="1">
        <v>35128.705562997697</v>
      </c>
    </row>
    <row r="162" spans="1:12" x14ac:dyDescent="0.35">
      <c r="A162" t="s">
        <v>185</v>
      </c>
      <c r="B162" t="s">
        <v>1</v>
      </c>
      <c r="C162" t="s">
        <v>19</v>
      </c>
      <c r="D162" t="s">
        <v>22</v>
      </c>
      <c r="E162" s="3">
        <v>228760</v>
      </c>
      <c r="F162">
        <v>0</v>
      </c>
      <c r="G162">
        <v>63</v>
      </c>
      <c r="H162" s="1">
        <v>0</v>
      </c>
      <c r="I162" s="1" t="s">
        <v>1105</v>
      </c>
      <c r="J162" t="s">
        <v>17</v>
      </c>
      <c r="K162" s="2">
        <v>679.36837800000001</v>
      </c>
      <c r="L162" s="1">
        <v>35679.3683779977</v>
      </c>
    </row>
    <row r="163" spans="1:12" x14ac:dyDescent="0.35">
      <c r="A163" t="s">
        <v>186</v>
      </c>
      <c r="B163" t="s">
        <v>8</v>
      </c>
      <c r="C163" t="s">
        <v>13</v>
      </c>
      <c r="D163" t="s">
        <v>22</v>
      </c>
      <c r="E163" s="3">
        <v>825576</v>
      </c>
      <c r="F163">
        <v>54040</v>
      </c>
      <c r="G163">
        <v>103</v>
      </c>
      <c r="H163" s="1">
        <v>0</v>
      </c>
      <c r="I163" s="1" t="s">
        <v>1102</v>
      </c>
      <c r="J163" t="s">
        <v>20</v>
      </c>
      <c r="K163" s="2">
        <v>59.987126000000004</v>
      </c>
      <c r="L163" s="1">
        <v>35059.987125995402</v>
      </c>
    </row>
    <row r="164" spans="1:12" x14ac:dyDescent="0.35">
      <c r="A164" t="s">
        <v>187</v>
      </c>
      <c r="B164" t="s">
        <v>1</v>
      </c>
      <c r="C164" t="s">
        <v>13</v>
      </c>
      <c r="D164" t="s">
        <v>26</v>
      </c>
      <c r="E164" s="3">
        <v>871492</v>
      </c>
      <c r="F164">
        <v>0</v>
      </c>
      <c r="G164">
        <v>118</v>
      </c>
      <c r="H164" s="1">
        <v>0</v>
      </c>
      <c r="I164" s="1" t="s">
        <v>1102</v>
      </c>
      <c r="J164" t="s">
        <v>20</v>
      </c>
      <c r="K164" s="2">
        <v>566.4</v>
      </c>
      <c r="L164" s="1">
        <v>35566.400000000001</v>
      </c>
    </row>
    <row r="165" spans="1:12" x14ac:dyDescent="0.35">
      <c r="A165" t="s">
        <v>188</v>
      </c>
      <c r="B165" t="s">
        <v>8</v>
      </c>
      <c r="C165" t="s">
        <v>13</v>
      </c>
      <c r="D165" t="s">
        <v>68</v>
      </c>
      <c r="E165" s="3">
        <v>681923</v>
      </c>
      <c r="F165">
        <v>22492</v>
      </c>
      <c r="G165">
        <v>85</v>
      </c>
      <c r="H165" s="1">
        <v>0</v>
      </c>
      <c r="I165" s="1" t="s">
        <v>1102</v>
      </c>
      <c r="J165" t="s">
        <v>17</v>
      </c>
      <c r="K165" s="2">
        <v>61.654262000000003</v>
      </c>
      <c r="L165" s="1">
        <v>35061.654262002303</v>
      </c>
    </row>
    <row r="166" spans="1:12" x14ac:dyDescent="0.35">
      <c r="A166" t="s">
        <v>189</v>
      </c>
      <c r="B166" t="s">
        <v>1</v>
      </c>
      <c r="C166" t="s">
        <v>19</v>
      </c>
      <c r="D166" t="s">
        <v>14</v>
      </c>
      <c r="E166" s="3">
        <v>741620</v>
      </c>
      <c r="F166">
        <v>0</v>
      </c>
      <c r="G166">
        <v>77</v>
      </c>
      <c r="H166" s="1">
        <v>36557</v>
      </c>
      <c r="I166" s="1" t="s">
        <v>1102</v>
      </c>
      <c r="J166" t="s">
        <v>11</v>
      </c>
      <c r="K166" s="2">
        <v>554.4</v>
      </c>
      <c r="L166" s="1">
        <v>35554.400000000001</v>
      </c>
    </row>
    <row r="167" spans="1:12" x14ac:dyDescent="0.35">
      <c r="A167" t="s">
        <v>190</v>
      </c>
      <c r="B167" t="s">
        <v>24</v>
      </c>
      <c r="C167" t="s">
        <v>19</v>
      </c>
      <c r="D167" t="s">
        <v>10</v>
      </c>
      <c r="E167" s="3">
        <v>777116</v>
      </c>
      <c r="F167">
        <v>21876</v>
      </c>
      <c r="G167">
        <v>68</v>
      </c>
      <c r="H167" s="1">
        <v>0</v>
      </c>
      <c r="I167" s="1" t="s">
        <v>1102</v>
      </c>
      <c r="J167" t="s">
        <v>11</v>
      </c>
      <c r="K167" s="2">
        <v>465.41476999999998</v>
      </c>
      <c r="L167" s="1">
        <v>35465.414770000003</v>
      </c>
    </row>
    <row r="168" spans="1:12" x14ac:dyDescent="0.35">
      <c r="A168" t="s">
        <v>191</v>
      </c>
      <c r="B168" t="s">
        <v>1</v>
      </c>
      <c r="C168" t="s">
        <v>13</v>
      </c>
      <c r="D168" t="s">
        <v>14</v>
      </c>
      <c r="E168" s="3">
        <v>696834</v>
      </c>
      <c r="F168">
        <v>0</v>
      </c>
      <c r="G168">
        <v>69</v>
      </c>
      <c r="H168" s="1">
        <v>36526</v>
      </c>
      <c r="I168" s="1" t="s">
        <v>1102</v>
      </c>
      <c r="J168" t="s">
        <v>11</v>
      </c>
      <c r="K168" s="2">
        <v>496.8</v>
      </c>
      <c r="L168" s="1">
        <v>35496.800000000003</v>
      </c>
    </row>
    <row r="169" spans="1:12" x14ac:dyDescent="0.35">
      <c r="A169" t="s">
        <v>192</v>
      </c>
      <c r="B169" t="s">
        <v>1</v>
      </c>
      <c r="C169" t="s">
        <v>13</v>
      </c>
      <c r="D169" t="s">
        <v>22</v>
      </c>
      <c r="E169" s="3">
        <v>425028</v>
      </c>
      <c r="F169">
        <v>0</v>
      </c>
      <c r="G169">
        <v>61</v>
      </c>
      <c r="H169" s="1">
        <v>36526</v>
      </c>
      <c r="I169" s="1" t="s">
        <v>1102</v>
      </c>
      <c r="J169" t="s">
        <v>11</v>
      </c>
      <c r="K169" s="2">
        <v>292.8</v>
      </c>
      <c r="L169" s="1">
        <v>35292.800000000003</v>
      </c>
    </row>
    <row r="170" spans="1:12" x14ac:dyDescent="0.35">
      <c r="A170" t="s">
        <v>193</v>
      </c>
      <c r="B170" t="s">
        <v>24</v>
      </c>
      <c r="C170" t="s">
        <v>13</v>
      </c>
      <c r="D170" t="s">
        <v>22</v>
      </c>
      <c r="E170" s="3">
        <v>1977657</v>
      </c>
      <c r="F170">
        <v>70699</v>
      </c>
      <c r="G170">
        <v>82</v>
      </c>
      <c r="H170" s="1">
        <v>0</v>
      </c>
      <c r="I170" s="1" t="s">
        <v>1102</v>
      </c>
      <c r="J170" t="s">
        <v>11</v>
      </c>
      <c r="K170" s="2">
        <v>256.81383699999998</v>
      </c>
      <c r="L170" s="1">
        <v>35256.813837002301</v>
      </c>
    </row>
    <row r="171" spans="1:12" x14ac:dyDescent="0.35">
      <c r="A171" t="s">
        <v>194</v>
      </c>
      <c r="B171" t="s">
        <v>1</v>
      </c>
      <c r="C171" t="s">
        <v>13</v>
      </c>
      <c r="D171" t="s">
        <v>22</v>
      </c>
      <c r="E171" s="3">
        <v>2134347</v>
      </c>
      <c r="F171">
        <v>0</v>
      </c>
      <c r="G171">
        <v>74</v>
      </c>
      <c r="H171" s="1">
        <v>36526</v>
      </c>
      <c r="I171" s="1" t="s">
        <v>1102</v>
      </c>
      <c r="J171" t="s">
        <v>11</v>
      </c>
      <c r="K171" s="2">
        <v>355.2</v>
      </c>
      <c r="L171" s="1">
        <v>35355.199999999997</v>
      </c>
    </row>
    <row r="172" spans="1:12" x14ac:dyDescent="0.35">
      <c r="A172" t="s">
        <v>195</v>
      </c>
      <c r="B172" t="s">
        <v>1</v>
      </c>
      <c r="C172" t="s">
        <v>19</v>
      </c>
      <c r="D172" t="s">
        <v>26</v>
      </c>
      <c r="E172" s="3">
        <v>241314</v>
      </c>
      <c r="F172">
        <v>27501</v>
      </c>
      <c r="G172">
        <v>63</v>
      </c>
      <c r="H172" s="1">
        <v>0</v>
      </c>
      <c r="I172" s="1" t="s">
        <v>1102</v>
      </c>
      <c r="J172" t="s">
        <v>11</v>
      </c>
      <c r="K172" s="2">
        <v>542.31940099999997</v>
      </c>
      <c r="L172" s="1">
        <v>35542.319400995402</v>
      </c>
    </row>
    <row r="173" spans="1:12" x14ac:dyDescent="0.35">
      <c r="A173" t="s">
        <v>196</v>
      </c>
      <c r="B173" t="s">
        <v>24</v>
      </c>
      <c r="C173" t="s">
        <v>13</v>
      </c>
      <c r="D173" t="s">
        <v>68</v>
      </c>
      <c r="E173" s="3">
        <v>1536385</v>
      </c>
      <c r="F173">
        <v>15897</v>
      </c>
      <c r="G173">
        <v>101</v>
      </c>
      <c r="H173" s="1">
        <v>0</v>
      </c>
      <c r="I173" s="1" t="s">
        <v>1102</v>
      </c>
      <c r="J173" t="s">
        <v>11</v>
      </c>
      <c r="K173" s="2">
        <v>303.14839899999998</v>
      </c>
      <c r="L173" s="1">
        <v>35303.148399004604</v>
      </c>
    </row>
    <row r="174" spans="1:12" x14ac:dyDescent="0.35">
      <c r="A174" t="s">
        <v>197</v>
      </c>
      <c r="B174" t="s">
        <v>16</v>
      </c>
      <c r="C174" t="s">
        <v>13</v>
      </c>
      <c r="D174" t="s">
        <v>26</v>
      </c>
      <c r="E174" s="3">
        <v>845696</v>
      </c>
      <c r="F174">
        <v>25141</v>
      </c>
      <c r="G174">
        <v>73</v>
      </c>
      <c r="H174" s="1">
        <v>36526</v>
      </c>
      <c r="I174" s="1" t="s">
        <v>1102</v>
      </c>
      <c r="J174" t="s">
        <v>11</v>
      </c>
      <c r="K174" s="2">
        <v>25.438063</v>
      </c>
      <c r="L174" s="1">
        <v>35025.438062997702</v>
      </c>
    </row>
    <row r="175" spans="1:12" x14ac:dyDescent="0.35">
      <c r="A175" t="s">
        <v>198</v>
      </c>
      <c r="B175" t="s">
        <v>16</v>
      </c>
      <c r="C175" t="s">
        <v>13</v>
      </c>
      <c r="D175" t="s">
        <v>26</v>
      </c>
      <c r="E175" s="3">
        <v>218964</v>
      </c>
      <c r="F175">
        <v>0</v>
      </c>
      <c r="G175">
        <v>61</v>
      </c>
      <c r="H175" s="1">
        <v>36586</v>
      </c>
      <c r="I175" s="1" t="s">
        <v>1102</v>
      </c>
      <c r="J175" t="s">
        <v>11</v>
      </c>
      <c r="K175" s="2">
        <v>292.8</v>
      </c>
      <c r="L175" s="1">
        <v>35292.800000000003</v>
      </c>
    </row>
    <row r="176" spans="1:12" x14ac:dyDescent="0.35">
      <c r="A176" t="s">
        <v>199</v>
      </c>
      <c r="B176" t="s">
        <v>1</v>
      </c>
      <c r="C176" t="s">
        <v>19</v>
      </c>
      <c r="D176" t="s">
        <v>22</v>
      </c>
      <c r="E176" s="3">
        <v>578018</v>
      </c>
      <c r="F176">
        <v>51066</v>
      </c>
      <c r="G176">
        <v>74</v>
      </c>
      <c r="H176" s="1">
        <v>0</v>
      </c>
      <c r="I176" s="1" t="s">
        <v>1102</v>
      </c>
      <c r="J176" t="s">
        <v>11</v>
      </c>
      <c r="K176" s="2">
        <v>787.99331299999994</v>
      </c>
      <c r="L176" s="1">
        <v>35787.9933129977</v>
      </c>
    </row>
    <row r="177" spans="1:12" x14ac:dyDescent="0.35">
      <c r="A177" t="s">
        <v>200</v>
      </c>
      <c r="B177" t="s">
        <v>1</v>
      </c>
      <c r="C177" t="s">
        <v>13</v>
      </c>
      <c r="D177" t="s">
        <v>14</v>
      </c>
      <c r="E177" s="3">
        <v>463998</v>
      </c>
      <c r="F177">
        <v>28358</v>
      </c>
      <c r="G177">
        <v>117</v>
      </c>
      <c r="H177" s="1">
        <v>0</v>
      </c>
      <c r="I177" s="1" t="s">
        <v>1102</v>
      </c>
      <c r="J177" t="s">
        <v>66</v>
      </c>
      <c r="K177" s="2">
        <v>84.024412999999996</v>
      </c>
      <c r="L177" s="1">
        <v>35084.0244129977</v>
      </c>
    </row>
    <row r="178" spans="1:12" x14ac:dyDescent="0.35">
      <c r="A178" t="s">
        <v>201</v>
      </c>
      <c r="B178" t="s">
        <v>8</v>
      </c>
      <c r="C178" t="s">
        <v>13</v>
      </c>
      <c r="D178" t="s">
        <v>68</v>
      </c>
      <c r="E178" s="3">
        <v>382443</v>
      </c>
      <c r="F178">
        <v>62530</v>
      </c>
      <c r="G178">
        <v>95</v>
      </c>
      <c r="H178" s="1">
        <v>0</v>
      </c>
      <c r="I178" s="1" t="s">
        <v>1102</v>
      </c>
      <c r="J178" t="s">
        <v>11</v>
      </c>
      <c r="K178" s="2">
        <v>61.693770999999998</v>
      </c>
      <c r="L178" s="1">
        <v>35061.6937709954</v>
      </c>
    </row>
    <row r="179" spans="1:12" x14ac:dyDescent="0.35">
      <c r="A179" t="s">
        <v>202</v>
      </c>
      <c r="B179" t="s">
        <v>28</v>
      </c>
      <c r="C179" t="s">
        <v>13</v>
      </c>
      <c r="D179" t="s">
        <v>14</v>
      </c>
      <c r="E179" s="3">
        <v>596812</v>
      </c>
      <c r="F179">
        <v>90972</v>
      </c>
      <c r="G179">
        <v>74</v>
      </c>
      <c r="H179" s="1">
        <v>0</v>
      </c>
      <c r="I179" s="1" t="s">
        <v>1102</v>
      </c>
      <c r="J179" t="s">
        <v>17</v>
      </c>
      <c r="K179" s="2">
        <v>232.92614499999999</v>
      </c>
      <c r="L179" s="1">
        <v>35232.926144999998</v>
      </c>
    </row>
    <row r="180" spans="1:12" x14ac:dyDescent="0.35">
      <c r="A180" t="s">
        <v>203</v>
      </c>
      <c r="B180" t="s">
        <v>8</v>
      </c>
      <c r="C180" t="s">
        <v>13</v>
      </c>
      <c r="D180" t="s">
        <v>14</v>
      </c>
      <c r="E180" s="3">
        <v>859034</v>
      </c>
      <c r="F180">
        <v>63110</v>
      </c>
      <c r="G180">
        <v>72</v>
      </c>
      <c r="H180" s="1">
        <v>0</v>
      </c>
      <c r="I180" s="1" t="s">
        <v>1102</v>
      </c>
      <c r="J180" t="s">
        <v>11</v>
      </c>
      <c r="K180" s="2">
        <v>68.179721000000001</v>
      </c>
      <c r="L180" s="1">
        <v>35068.179720995402</v>
      </c>
    </row>
    <row r="181" spans="1:12" x14ac:dyDescent="0.35">
      <c r="A181" t="s">
        <v>204</v>
      </c>
      <c r="B181" t="s">
        <v>1</v>
      </c>
      <c r="C181" t="s">
        <v>13</v>
      </c>
      <c r="D181" t="s">
        <v>14</v>
      </c>
      <c r="E181" s="3">
        <v>407663</v>
      </c>
      <c r="F181">
        <v>29549</v>
      </c>
      <c r="G181">
        <v>104</v>
      </c>
      <c r="H181" s="1">
        <v>0</v>
      </c>
      <c r="I181" s="1" t="s">
        <v>1102</v>
      </c>
      <c r="J181" t="s">
        <v>66</v>
      </c>
      <c r="K181" s="2">
        <v>710.43377499999997</v>
      </c>
      <c r="L181" s="1">
        <v>35710.433774999998</v>
      </c>
    </row>
    <row r="182" spans="1:12" x14ac:dyDescent="0.35">
      <c r="A182" t="s">
        <v>205</v>
      </c>
      <c r="B182" t="s">
        <v>1</v>
      </c>
      <c r="C182" t="s">
        <v>13</v>
      </c>
      <c r="D182" t="s">
        <v>14</v>
      </c>
      <c r="E182" s="3">
        <v>1225260</v>
      </c>
      <c r="F182">
        <v>0</v>
      </c>
      <c r="G182">
        <v>115</v>
      </c>
      <c r="H182" s="1">
        <v>36526</v>
      </c>
      <c r="I182" s="1" t="s">
        <v>1102</v>
      </c>
      <c r="J182" t="s">
        <v>11</v>
      </c>
      <c r="K182" s="2">
        <v>552</v>
      </c>
      <c r="L182" s="1">
        <v>35552</v>
      </c>
    </row>
    <row r="183" spans="1:12" x14ac:dyDescent="0.35">
      <c r="A183" t="s">
        <v>206</v>
      </c>
      <c r="B183" t="s">
        <v>16</v>
      </c>
      <c r="C183" t="s">
        <v>13</v>
      </c>
      <c r="D183" t="s">
        <v>14</v>
      </c>
      <c r="E183" s="3">
        <v>1693627</v>
      </c>
      <c r="F183">
        <v>39411</v>
      </c>
      <c r="G183">
        <v>217</v>
      </c>
      <c r="H183" s="1">
        <v>36557</v>
      </c>
      <c r="I183" s="1" t="s">
        <v>1102</v>
      </c>
      <c r="J183" t="s">
        <v>104</v>
      </c>
      <c r="K183" s="2">
        <v>1122.658899</v>
      </c>
      <c r="L183" s="1">
        <v>36122.6588990046</v>
      </c>
    </row>
    <row r="184" spans="1:12" x14ac:dyDescent="0.35">
      <c r="A184" t="s">
        <v>207</v>
      </c>
      <c r="B184" t="s">
        <v>24</v>
      </c>
      <c r="C184" t="s">
        <v>19</v>
      </c>
      <c r="D184" t="s">
        <v>22</v>
      </c>
      <c r="E184" s="3">
        <v>489244</v>
      </c>
      <c r="F184">
        <v>21709</v>
      </c>
      <c r="G184">
        <v>62</v>
      </c>
      <c r="H184" s="1">
        <v>0</v>
      </c>
      <c r="I184" s="1" t="s">
        <v>1102</v>
      </c>
      <c r="J184" t="s">
        <v>11</v>
      </c>
      <c r="K184" s="2">
        <v>408.37474600000002</v>
      </c>
      <c r="L184" s="1">
        <v>35408.374745995403</v>
      </c>
    </row>
    <row r="185" spans="1:12" x14ac:dyDescent="0.35">
      <c r="A185" t="s">
        <v>208</v>
      </c>
      <c r="B185" t="s">
        <v>16</v>
      </c>
      <c r="C185" t="s">
        <v>19</v>
      </c>
      <c r="D185" t="s">
        <v>14</v>
      </c>
      <c r="E185" s="3">
        <v>994230</v>
      </c>
      <c r="F185">
        <v>67890</v>
      </c>
      <c r="G185">
        <v>85</v>
      </c>
      <c r="H185" s="1">
        <v>0</v>
      </c>
      <c r="I185" s="1" t="s">
        <v>1102</v>
      </c>
      <c r="J185" t="s">
        <v>11</v>
      </c>
      <c r="K185" s="2">
        <v>408</v>
      </c>
      <c r="L185" s="1">
        <v>35408</v>
      </c>
    </row>
    <row r="186" spans="1:12" x14ac:dyDescent="0.35">
      <c r="A186" t="s">
        <v>209</v>
      </c>
      <c r="B186" t="s">
        <v>1</v>
      </c>
      <c r="C186" t="s">
        <v>19</v>
      </c>
      <c r="D186" t="s">
        <v>14</v>
      </c>
      <c r="E186" s="3">
        <v>373584</v>
      </c>
      <c r="F186">
        <v>0</v>
      </c>
      <c r="G186">
        <v>110</v>
      </c>
      <c r="H186" s="1">
        <v>0</v>
      </c>
      <c r="I186" s="1" t="s">
        <v>1102</v>
      </c>
      <c r="J186" t="s">
        <v>20</v>
      </c>
      <c r="K186" s="2">
        <v>792</v>
      </c>
      <c r="L186" s="1">
        <v>35792</v>
      </c>
    </row>
    <row r="187" spans="1:12" x14ac:dyDescent="0.35">
      <c r="A187" t="s">
        <v>210</v>
      </c>
      <c r="B187" t="s">
        <v>1</v>
      </c>
      <c r="C187" t="s">
        <v>13</v>
      </c>
      <c r="D187" t="s">
        <v>22</v>
      </c>
      <c r="E187" s="3">
        <v>1311752</v>
      </c>
      <c r="F187">
        <v>84311</v>
      </c>
      <c r="G187">
        <v>111</v>
      </c>
      <c r="H187" s="1">
        <v>36617</v>
      </c>
      <c r="I187" s="1" t="s">
        <v>1102</v>
      </c>
      <c r="J187" t="s">
        <v>20</v>
      </c>
      <c r="K187" s="2">
        <v>532.79999999999995</v>
      </c>
      <c r="L187" s="1">
        <v>35532.800000000003</v>
      </c>
    </row>
    <row r="188" spans="1:12" x14ac:dyDescent="0.35">
      <c r="A188" t="s">
        <v>211</v>
      </c>
      <c r="B188" t="s">
        <v>1</v>
      </c>
      <c r="C188" t="s">
        <v>13</v>
      </c>
      <c r="D188" t="s">
        <v>26</v>
      </c>
      <c r="E188" s="3">
        <v>457452</v>
      </c>
      <c r="F188">
        <v>99316</v>
      </c>
      <c r="G188">
        <v>114</v>
      </c>
      <c r="H188" s="1">
        <v>0</v>
      </c>
      <c r="I188" s="1" t="s">
        <v>1105</v>
      </c>
      <c r="J188" t="s">
        <v>20</v>
      </c>
      <c r="K188" s="2">
        <v>754.35892899999999</v>
      </c>
      <c r="L188" s="1">
        <v>35754.3589290046</v>
      </c>
    </row>
    <row r="189" spans="1:12" x14ac:dyDescent="0.35">
      <c r="A189" t="s">
        <v>212</v>
      </c>
      <c r="B189" t="s">
        <v>28</v>
      </c>
      <c r="C189" t="s">
        <v>13</v>
      </c>
      <c r="D189" t="s">
        <v>14</v>
      </c>
      <c r="E189" s="3">
        <v>547006</v>
      </c>
      <c r="F189">
        <v>54507</v>
      </c>
      <c r="G189">
        <v>138</v>
      </c>
      <c r="H189" s="1">
        <v>0</v>
      </c>
      <c r="I189" s="1" t="s">
        <v>1102</v>
      </c>
      <c r="J189" t="s">
        <v>20</v>
      </c>
      <c r="K189" s="2">
        <v>702.99003200000004</v>
      </c>
      <c r="L189" s="1">
        <v>35702.990032002301</v>
      </c>
    </row>
    <row r="190" spans="1:12" x14ac:dyDescent="0.35">
      <c r="A190" t="s">
        <v>213</v>
      </c>
      <c r="B190" t="s">
        <v>1</v>
      </c>
      <c r="C190" t="s">
        <v>13</v>
      </c>
      <c r="D190" t="s">
        <v>14</v>
      </c>
      <c r="E190" s="3">
        <v>297885</v>
      </c>
      <c r="F190">
        <v>64586</v>
      </c>
      <c r="G190">
        <v>76</v>
      </c>
      <c r="H190" s="1">
        <v>0</v>
      </c>
      <c r="I190" s="1" t="s">
        <v>1102</v>
      </c>
      <c r="J190" t="s">
        <v>11</v>
      </c>
      <c r="K190" s="2">
        <v>206.83711099999999</v>
      </c>
      <c r="L190" s="1">
        <v>35206.837110995402</v>
      </c>
    </row>
    <row r="191" spans="1:12" x14ac:dyDescent="0.35">
      <c r="A191" t="s">
        <v>214</v>
      </c>
      <c r="B191" t="s">
        <v>24</v>
      </c>
      <c r="C191" t="s">
        <v>19</v>
      </c>
      <c r="D191" t="s">
        <v>26</v>
      </c>
      <c r="E191" s="3">
        <v>641097</v>
      </c>
      <c r="F191">
        <v>61709</v>
      </c>
      <c r="G191">
        <v>82</v>
      </c>
      <c r="H191" s="1">
        <v>36557</v>
      </c>
      <c r="I191" s="1" t="s">
        <v>1102</v>
      </c>
      <c r="J191" t="s">
        <v>11</v>
      </c>
      <c r="K191" s="2">
        <v>275.395894</v>
      </c>
      <c r="L191" s="1">
        <v>35275.3958940046</v>
      </c>
    </row>
    <row r="192" spans="1:12" x14ac:dyDescent="0.35">
      <c r="A192" t="s">
        <v>215</v>
      </c>
      <c r="B192" t="s">
        <v>1</v>
      </c>
      <c r="C192" t="s">
        <v>19</v>
      </c>
      <c r="D192" t="s">
        <v>10</v>
      </c>
      <c r="E192" s="3">
        <v>447902</v>
      </c>
      <c r="F192">
        <v>94656</v>
      </c>
      <c r="G192">
        <v>111</v>
      </c>
      <c r="H192" s="1">
        <v>36526</v>
      </c>
      <c r="I192" s="1" t="s">
        <v>1112</v>
      </c>
      <c r="J192" t="s">
        <v>20</v>
      </c>
      <c r="K192" s="2">
        <v>459.73812800000002</v>
      </c>
      <c r="L192" s="1">
        <v>35459.738127997698</v>
      </c>
    </row>
    <row r="193" spans="1:12" x14ac:dyDescent="0.35">
      <c r="A193" t="s">
        <v>216</v>
      </c>
      <c r="B193" t="s">
        <v>1</v>
      </c>
      <c r="C193" t="s">
        <v>13</v>
      </c>
      <c r="D193" t="s">
        <v>22</v>
      </c>
      <c r="E193" s="3">
        <v>238373</v>
      </c>
      <c r="F193">
        <v>0</v>
      </c>
      <c r="G193">
        <v>69</v>
      </c>
      <c r="H193" s="1">
        <v>0</v>
      </c>
      <c r="I193" s="1" t="s">
        <v>1112</v>
      </c>
      <c r="J193" t="s">
        <v>17</v>
      </c>
      <c r="K193" s="2">
        <v>496.8</v>
      </c>
      <c r="L193" s="1">
        <v>35496.800000000003</v>
      </c>
    </row>
    <row r="194" spans="1:12" x14ac:dyDescent="0.35">
      <c r="A194" t="s">
        <v>217</v>
      </c>
      <c r="B194" t="s">
        <v>1</v>
      </c>
      <c r="C194" t="s">
        <v>19</v>
      </c>
      <c r="D194" t="s">
        <v>14</v>
      </c>
      <c r="E194" s="3">
        <v>276449</v>
      </c>
      <c r="F194">
        <v>61085</v>
      </c>
      <c r="G194">
        <v>70</v>
      </c>
      <c r="H194" s="1">
        <v>36526</v>
      </c>
      <c r="I194" s="1" t="s">
        <v>1102</v>
      </c>
      <c r="J194" t="s">
        <v>17</v>
      </c>
      <c r="K194" s="2">
        <v>336</v>
      </c>
      <c r="L194" s="1">
        <v>35336</v>
      </c>
    </row>
    <row r="195" spans="1:12" x14ac:dyDescent="0.35">
      <c r="A195" t="s">
        <v>218</v>
      </c>
      <c r="B195" t="s">
        <v>24</v>
      </c>
      <c r="C195" t="s">
        <v>13</v>
      </c>
      <c r="D195" t="s">
        <v>14</v>
      </c>
      <c r="E195" s="3">
        <v>792011</v>
      </c>
      <c r="F195">
        <v>89284</v>
      </c>
      <c r="G195">
        <v>67</v>
      </c>
      <c r="H195" s="1">
        <v>36586</v>
      </c>
      <c r="I195" s="1" t="s">
        <v>1102</v>
      </c>
      <c r="J195" t="s">
        <v>17</v>
      </c>
      <c r="K195" s="2">
        <v>321.60000000000002</v>
      </c>
      <c r="L195" s="1">
        <v>35321.599999999999</v>
      </c>
    </row>
    <row r="196" spans="1:12" x14ac:dyDescent="0.35">
      <c r="A196" t="s">
        <v>219</v>
      </c>
      <c r="B196" t="s">
        <v>28</v>
      </c>
      <c r="C196" t="s">
        <v>13</v>
      </c>
      <c r="D196" t="s">
        <v>22</v>
      </c>
      <c r="E196" s="3">
        <v>688910</v>
      </c>
      <c r="F196">
        <v>0</v>
      </c>
      <c r="G196">
        <v>63</v>
      </c>
      <c r="H196" s="1">
        <v>0</v>
      </c>
      <c r="I196" s="1" t="s">
        <v>1102</v>
      </c>
      <c r="J196" t="s">
        <v>11</v>
      </c>
      <c r="K196" s="2">
        <v>302.39999999999998</v>
      </c>
      <c r="L196" s="1">
        <v>35302.400000000001</v>
      </c>
    </row>
    <row r="197" spans="1:12" x14ac:dyDescent="0.35">
      <c r="A197" t="s">
        <v>220</v>
      </c>
      <c r="B197" t="s">
        <v>8</v>
      </c>
      <c r="C197" t="s">
        <v>13</v>
      </c>
      <c r="D197" t="s">
        <v>14</v>
      </c>
      <c r="E197" s="3">
        <v>327419</v>
      </c>
      <c r="F197">
        <v>31686</v>
      </c>
      <c r="G197">
        <v>81</v>
      </c>
      <c r="H197" s="1">
        <v>0</v>
      </c>
      <c r="I197" s="1" t="s">
        <v>1102</v>
      </c>
      <c r="J197" t="s">
        <v>11</v>
      </c>
      <c r="K197" s="2">
        <v>430.99410699999999</v>
      </c>
      <c r="L197" s="1">
        <v>35430.994107002298</v>
      </c>
    </row>
    <row r="198" spans="1:12" x14ac:dyDescent="0.35">
      <c r="A198" t="s">
        <v>221</v>
      </c>
      <c r="B198" t="s">
        <v>24</v>
      </c>
      <c r="C198" t="s">
        <v>19</v>
      </c>
      <c r="D198" t="s">
        <v>22</v>
      </c>
      <c r="E198" s="3">
        <v>995171</v>
      </c>
      <c r="F198">
        <v>56855</v>
      </c>
      <c r="G198">
        <v>255</v>
      </c>
      <c r="H198" s="1">
        <v>0</v>
      </c>
      <c r="I198" s="1" t="s">
        <v>1105</v>
      </c>
      <c r="J198" t="s">
        <v>53</v>
      </c>
      <c r="K198" s="2">
        <v>1836</v>
      </c>
      <c r="L198" s="1">
        <v>36836</v>
      </c>
    </row>
    <row r="199" spans="1:12" x14ac:dyDescent="0.35">
      <c r="A199" t="s">
        <v>222</v>
      </c>
      <c r="B199" t="s">
        <v>24</v>
      </c>
      <c r="C199" t="s">
        <v>19</v>
      </c>
      <c r="D199" t="s">
        <v>14</v>
      </c>
      <c r="E199" s="3">
        <v>252156</v>
      </c>
      <c r="F199">
        <v>53703</v>
      </c>
      <c r="G199">
        <v>67</v>
      </c>
      <c r="H199" s="1">
        <v>36557</v>
      </c>
      <c r="I199" s="1" t="s">
        <v>1112</v>
      </c>
      <c r="J199" t="s">
        <v>11</v>
      </c>
      <c r="K199" s="2">
        <v>67.632475999999997</v>
      </c>
      <c r="L199" s="1">
        <v>35067.6324759954</v>
      </c>
    </row>
    <row r="200" spans="1:12" x14ac:dyDescent="0.35">
      <c r="A200" t="s">
        <v>223</v>
      </c>
      <c r="B200" t="s">
        <v>8</v>
      </c>
      <c r="C200" t="s">
        <v>13</v>
      </c>
      <c r="D200" t="s">
        <v>22</v>
      </c>
      <c r="E200" s="3">
        <v>2370611</v>
      </c>
      <c r="F200">
        <v>0</v>
      </c>
      <c r="G200">
        <v>96</v>
      </c>
      <c r="H200" s="1">
        <v>36526</v>
      </c>
      <c r="I200" s="1" t="s">
        <v>1102</v>
      </c>
      <c r="J200" t="s">
        <v>17</v>
      </c>
      <c r="K200" s="2">
        <v>844.48191799999995</v>
      </c>
      <c r="L200" s="1">
        <v>35844.481917997698</v>
      </c>
    </row>
    <row r="201" spans="1:12" x14ac:dyDescent="0.35">
      <c r="A201" t="s">
        <v>224</v>
      </c>
      <c r="B201" t="s">
        <v>1</v>
      </c>
      <c r="C201" t="s">
        <v>19</v>
      </c>
      <c r="D201" t="s">
        <v>26</v>
      </c>
      <c r="E201" s="3">
        <v>604703</v>
      </c>
      <c r="F201">
        <v>20396</v>
      </c>
      <c r="G201">
        <v>76</v>
      </c>
      <c r="H201" s="1">
        <v>36526</v>
      </c>
      <c r="I201" s="1" t="s">
        <v>1102</v>
      </c>
      <c r="J201" t="s">
        <v>11</v>
      </c>
      <c r="K201" s="2">
        <v>364.8</v>
      </c>
      <c r="L201" s="1">
        <v>35364.800000000003</v>
      </c>
    </row>
    <row r="202" spans="1:12" x14ac:dyDescent="0.35">
      <c r="A202" t="s">
        <v>225</v>
      </c>
      <c r="B202" t="s">
        <v>1</v>
      </c>
      <c r="C202" t="s">
        <v>13</v>
      </c>
      <c r="D202" t="s">
        <v>10</v>
      </c>
      <c r="E202" s="3">
        <v>1114030</v>
      </c>
      <c r="F202">
        <v>27679</v>
      </c>
      <c r="G202">
        <v>150</v>
      </c>
      <c r="H202" s="1">
        <v>0</v>
      </c>
      <c r="I202" s="1" t="s">
        <v>1102</v>
      </c>
      <c r="J202" t="s">
        <v>20</v>
      </c>
      <c r="K202" s="2">
        <v>722.48699399999998</v>
      </c>
      <c r="L202" s="1">
        <v>35722.486994004597</v>
      </c>
    </row>
    <row r="203" spans="1:12" x14ac:dyDescent="0.35">
      <c r="A203" t="s">
        <v>226</v>
      </c>
      <c r="B203" t="s">
        <v>16</v>
      </c>
      <c r="C203" t="s">
        <v>13</v>
      </c>
      <c r="D203" t="s">
        <v>14</v>
      </c>
      <c r="E203" s="3">
        <v>433406</v>
      </c>
      <c r="F203">
        <v>23904</v>
      </c>
      <c r="G203">
        <v>123</v>
      </c>
      <c r="H203" s="1">
        <v>36586</v>
      </c>
      <c r="I203" s="1" t="s">
        <v>1102</v>
      </c>
      <c r="J203" t="s">
        <v>20</v>
      </c>
      <c r="K203" s="2">
        <v>590.4</v>
      </c>
      <c r="L203" s="1">
        <v>35590.400000000001</v>
      </c>
    </row>
    <row r="204" spans="1:12" x14ac:dyDescent="0.35">
      <c r="A204" t="s">
        <v>227</v>
      </c>
      <c r="B204" t="s">
        <v>28</v>
      </c>
      <c r="C204" t="s">
        <v>13</v>
      </c>
      <c r="D204" t="s">
        <v>22</v>
      </c>
      <c r="E204" s="3">
        <v>279975</v>
      </c>
      <c r="F204">
        <v>65351</v>
      </c>
      <c r="G204">
        <v>69</v>
      </c>
      <c r="H204" s="1">
        <v>0</v>
      </c>
      <c r="I204" s="1" t="s">
        <v>1105</v>
      </c>
      <c r="J204" t="s">
        <v>11</v>
      </c>
      <c r="K204" s="2">
        <v>481.02751599999999</v>
      </c>
      <c r="L204" s="1">
        <v>35481.027515995404</v>
      </c>
    </row>
    <row r="205" spans="1:12" x14ac:dyDescent="0.35">
      <c r="A205" t="s">
        <v>228</v>
      </c>
      <c r="B205" t="s">
        <v>1</v>
      </c>
      <c r="C205" t="s">
        <v>19</v>
      </c>
      <c r="D205" t="s">
        <v>26</v>
      </c>
      <c r="E205" s="3">
        <v>792314</v>
      </c>
      <c r="F205">
        <v>0</v>
      </c>
      <c r="G205">
        <v>113</v>
      </c>
      <c r="H205" s="1">
        <v>0</v>
      </c>
      <c r="I205" s="1" t="s">
        <v>1102</v>
      </c>
      <c r="J205" t="s">
        <v>20</v>
      </c>
      <c r="K205" s="2">
        <v>1124.4277340000001</v>
      </c>
      <c r="L205" s="1">
        <v>36124.427734004603</v>
      </c>
    </row>
    <row r="206" spans="1:12" x14ac:dyDescent="0.35">
      <c r="A206" t="s">
        <v>229</v>
      </c>
      <c r="B206" t="s">
        <v>1</v>
      </c>
      <c r="C206" t="s">
        <v>19</v>
      </c>
      <c r="D206" t="s">
        <v>22</v>
      </c>
      <c r="E206" s="3">
        <v>368811</v>
      </c>
      <c r="F206">
        <v>0</v>
      </c>
      <c r="G206">
        <v>63</v>
      </c>
      <c r="H206" s="1">
        <v>36586</v>
      </c>
      <c r="I206" s="1" t="s">
        <v>1102</v>
      </c>
      <c r="J206" t="s">
        <v>11</v>
      </c>
      <c r="K206" s="2">
        <v>669.68200100000001</v>
      </c>
      <c r="L206" s="1">
        <v>35669.682000995403</v>
      </c>
    </row>
    <row r="207" spans="1:12" x14ac:dyDescent="0.35">
      <c r="A207" t="s">
        <v>230</v>
      </c>
      <c r="B207" t="s">
        <v>1</v>
      </c>
      <c r="C207" t="s">
        <v>19</v>
      </c>
      <c r="D207" t="s">
        <v>26</v>
      </c>
      <c r="E207" s="3">
        <v>1206746</v>
      </c>
      <c r="F207">
        <v>0</v>
      </c>
      <c r="G207">
        <v>116</v>
      </c>
      <c r="H207" s="1">
        <v>0</v>
      </c>
      <c r="I207" s="1" t="s">
        <v>1102</v>
      </c>
      <c r="J207" t="s">
        <v>20</v>
      </c>
      <c r="K207" s="2">
        <v>1284.093173</v>
      </c>
      <c r="L207" s="1">
        <v>36284.093172997702</v>
      </c>
    </row>
    <row r="208" spans="1:12" x14ac:dyDescent="0.35">
      <c r="A208" t="s">
        <v>231</v>
      </c>
      <c r="B208" t="s">
        <v>1</v>
      </c>
      <c r="C208" t="s">
        <v>13</v>
      </c>
      <c r="D208" t="s">
        <v>26</v>
      </c>
      <c r="E208" s="3">
        <v>292498</v>
      </c>
      <c r="F208">
        <v>64459</v>
      </c>
      <c r="G208">
        <v>72</v>
      </c>
      <c r="H208" s="1">
        <v>0</v>
      </c>
      <c r="I208" s="1" t="s">
        <v>1102</v>
      </c>
      <c r="J208" t="s">
        <v>11</v>
      </c>
      <c r="K208" s="2">
        <v>240.259479</v>
      </c>
      <c r="L208" s="1">
        <v>35240.259479004599</v>
      </c>
    </row>
    <row r="209" spans="1:12" x14ac:dyDescent="0.35">
      <c r="A209" t="s">
        <v>232</v>
      </c>
      <c r="B209" t="s">
        <v>1</v>
      </c>
      <c r="C209" t="s">
        <v>19</v>
      </c>
      <c r="D209" t="s">
        <v>26</v>
      </c>
      <c r="E209" s="3">
        <v>1501409</v>
      </c>
      <c r="F209">
        <v>32961</v>
      </c>
      <c r="G209">
        <v>190</v>
      </c>
      <c r="H209" s="1">
        <v>0</v>
      </c>
      <c r="I209" s="1" t="s">
        <v>1105</v>
      </c>
      <c r="J209" t="s">
        <v>20</v>
      </c>
      <c r="K209" s="2">
        <v>912</v>
      </c>
      <c r="L209" s="1">
        <v>35912</v>
      </c>
    </row>
    <row r="210" spans="1:12" x14ac:dyDescent="0.35">
      <c r="A210" t="s">
        <v>233</v>
      </c>
      <c r="B210" t="s">
        <v>24</v>
      </c>
      <c r="C210" t="s">
        <v>13</v>
      </c>
      <c r="D210" t="s">
        <v>22</v>
      </c>
      <c r="E210" s="3">
        <v>927723</v>
      </c>
      <c r="F210">
        <v>71416</v>
      </c>
      <c r="G210">
        <v>116</v>
      </c>
      <c r="H210" s="1">
        <v>0</v>
      </c>
      <c r="I210" s="1" t="s">
        <v>1105</v>
      </c>
      <c r="J210" t="s">
        <v>20</v>
      </c>
      <c r="K210" s="2">
        <v>556.79999999999995</v>
      </c>
      <c r="L210" s="1">
        <v>35556.800000000003</v>
      </c>
    </row>
    <row r="211" spans="1:12" x14ac:dyDescent="0.35">
      <c r="A211" t="s">
        <v>234</v>
      </c>
      <c r="B211" t="s">
        <v>8</v>
      </c>
      <c r="C211" t="s">
        <v>13</v>
      </c>
      <c r="D211" t="s">
        <v>14</v>
      </c>
      <c r="E211" s="3">
        <v>627412</v>
      </c>
      <c r="F211">
        <v>68964</v>
      </c>
      <c r="G211">
        <v>78</v>
      </c>
      <c r="H211" s="1">
        <v>0</v>
      </c>
      <c r="I211" s="1" t="s">
        <v>1102</v>
      </c>
      <c r="J211" t="s">
        <v>11</v>
      </c>
      <c r="K211" s="2">
        <v>115.086827</v>
      </c>
      <c r="L211" s="1">
        <v>35115.086827002298</v>
      </c>
    </row>
    <row r="212" spans="1:12" x14ac:dyDescent="0.35">
      <c r="A212" t="s">
        <v>235</v>
      </c>
      <c r="B212" t="s">
        <v>1</v>
      </c>
      <c r="C212" t="s">
        <v>19</v>
      </c>
      <c r="D212" t="s">
        <v>22</v>
      </c>
      <c r="E212" s="3">
        <v>388665</v>
      </c>
      <c r="F212">
        <v>78108</v>
      </c>
      <c r="G212">
        <v>98</v>
      </c>
      <c r="H212" s="1">
        <v>0</v>
      </c>
      <c r="I212" s="1" t="s">
        <v>1102</v>
      </c>
      <c r="J212" t="s">
        <v>17</v>
      </c>
      <c r="K212" s="2">
        <v>470.4</v>
      </c>
      <c r="L212" s="1">
        <v>35470.400000000001</v>
      </c>
    </row>
    <row r="213" spans="1:12" x14ac:dyDescent="0.35">
      <c r="A213" t="s">
        <v>236</v>
      </c>
      <c r="B213" t="s">
        <v>1</v>
      </c>
      <c r="C213" t="s">
        <v>19</v>
      </c>
      <c r="D213" t="s">
        <v>26</v>
      </c>
      <c r="E213" s="3">
        <v>438628</v>
      </c>
      <c r="F213">
        <v>10621</v>
      </c>
      <c r="G213">
        <v>67</v>
      </c>
      <c r="H213" s="1">
        <v>0</v>
      </c>
      <c r="I213" s="1" t="s">
        <v>1112</v>
      </c>
      <c r="J213" t="s">
        <v>11</v>
      </c>
      <c r="K213" s="2">
        <v>321.60000000000002</v>
      </c>
      <c r="L213" s="1">
        <v>35321.599999999999</v>
      </c>
    </row>
    <row r="214" spans="1:12" x14ac:dyDescent="0.35">
      <c r="A214" t="s">
        <v>237</v>
      </c>
      <c r="B214" t="s">
        <v>8</v>
      </c>
      <c r="C214" t="s">
        <v>19</v>
      </c>
      <c r="D214" t="s">
        <v>26</v>
      </c>
      <c r="E214" s="3">
        <v>1136527</v>
      </c>
      <c r="F214">
        <v>84910</v>
      </c>
      <c r="G214">
        <v>95</v>
      </c>
      <c r="H214" s="1">
        <v>0</v>
      </c>
      <c r="I214" s="1" t="s">
        <v>1105</v>
      </c>
      <c r="J214" t="s">
        <v>17</v>
      </c>
      <c r="K214" s="2">
        <v>383.16747099999998</v>
      </c>
      <c r="L214" s="1">
        <v>35383.167470995402</v>
      </c>
    </row>
    <row r="215" spans="1:12" x14ac:dyDescent="0.35">
      <c r="A215" t="s">
        <v>238</v>
      </c>
      <c r="B215" t="s">
        <v>1</v>
      </c>
      <c r="C215" t="s">
        <v>13</v>
      </c>
      <c r="D215" t="s">
        <v>22</v>
      </c>
      <c r="E215" s="3">
        <v>561096</v>
      </c>
      <c r="F215">
        <v>77493</v>
      </c>
      <c r="G215">
        <v>70</v>
      </c>
      <c r="H215" s="1">
        <v>0</v>
      </c>
      <c r="I215" s="1" t="s">
        <v>1112</v>
      </c>
      <c r="J215" t="s">
        <v>11</v>
      </c>
      <c r="K215" s="2">
        <v>307.96329100000003</v>
      </c>
      <c r="L215" s="1">
        <v>35307.963290995402</v>
      </c>
    </row>
    <row r="216" spans="1:12" x14ac:dyDescent="0.35">
      <c r="A216" t="s">
        <v>239</v>
      </c>
      <c r="B216" t="s">
        <v>28</v>
      </c>
      <c r="C216" t="s">
        <v>19</v>
      </c>
      <c r="D216" t="s">
        <v>26</v>
      </c>
      <c r="E216" s="3">
        <v>291289</v>
      </c>
      <c r="F216">
        <v>81097</v>
      </c>
      <c r="G216">
        <v>74</v>
      </c>
      <c r="H216" s="1">
        <v>0</v>
      </c>
      <c r="I216" s="1" t="s">
        <v>1102</v>
      </c>
      <c r="J216" t="s">
        <v>11</v>
      </c>
      <c r="K216" s="2">
        <v>355.2</v>
      </c>
      <c r="L216" s="1">
        <v>35355.199999999997</v>
      </c>
    </row>
    <row r="217" spans="1:12" x14ac:dyDescent="0.35">
      <c r="A217" t="s">
        <v>240</v>
      </c>
      <c r="B217" t="s">
        <v>24</v>
      </c>
      <c r="C217" t="s">
        <v>13</v>
      </c>
      <c r="D217" t="s">
        <v>26</v>
      </c>
      <c r="E217" s="3">
        <v>691573</v>
      </c>
      <c r="F217">
        <v>96610</v>
      </c>
      <c r="G217">
        <v>85</v>
      </c>
      <c r="H217" s="1">
        <v>0</v>
      </c>
      <c r="I217" s="1" t="s">
        <v>1105</v>
      </c>
      <c r="J217" t="s">
        <v>11</v>
      </c>
      <c r="K217" s="2">
        <v>520.36475199999995</v>
      </c>
      <c r="L217" s="1">
        <v>35520.364752002301</v>
      </c>
    </row>
    <row r="218" spans="1:12" x14ac:dyDescent="0.35">
      <c r="A218" t="s">
        <v>241</v>
      </c>
      <c r="B218" t="s">
        <v>24</v>
      </c>
      <c r="C218" t="s">
        <v>19</v>
      </c>
      <c r="D218" t="s">
        <v>26</v>
      </c>
      <c r="E218" s="3">
        <v>626266</v>
      </c>
      <c r="F218">
        <v>30110</v>
      </c>
      <c r="G218">
        <v>159</v>
      </c>
      <c r="H218" s="1">
        <v>0</v>
      </c>
      <c r="I218" s="1" t="s">
        <v>1105</v>
      </c>
      <c r="J218" t="s">
        <v>66</v>
      </c>
      <c r="K218" s="2">
        <v>466.436375</v>
      </c>
      <c r="L218" s="1">
        <v>35466.436374999997</v>
      </c>
    </row>
    <row r="219" spans="1:12" x14ac:dyDescent="0.35">
      <c r="A219" t="s">
        <v>242</v>
      </c>
      <c r="B219" t="s">
        <v>24</v>
      </c>
      <c r="C219" t="s">
        <v>13</v>
      </c>
      <c r="D219" t="s">
        <v>22</v>
      </c>
      <c r="E219" s="3">
        <v>650340</v>
      </c>
      <c r="F219">
        <v>22081</v>
      </c>
      <c r="G219">
        <v>84</v>
      </c>
      <c r="H219" s="1">
        <v>0</v>
      </c>
      <c r="I219" s="1" t="s">
        <v>1112</v>
      </c>
      <c r="J219" t="s">
        <v>17</v>
      </c>
      <c r="K219" s="2">
        <v>451.67030899999997</v>
      </c>
      <c r="L219" s="1">
        <v>35451.670309004599</v>
      </c>
    </row>
    <row r="220" spans="1:12" x14ac:dyDescent="0.35">
      <c r="A220" t="s">
        <v>243</v>
      </c>
      <c r="B220" t="s">
        <v>8</v>
      </c>
      <c r="C220" t="s">
        <v>13</v>
      </c>
      <c r="D220" t="s">
        <v>22</v>
      </c>
      <c r="E220" s="3">
        <v>800740</v>
      </c>
      <c r="F220">
        <v>0</v>
      </c>
      <c r="G220">
        <v>112</v>
      </c>
      <c r="H220" s="1">
        <v>0</v>
      </c>
      <c r="I220" s="1" t="s">
        <v>1102</v>
      </c>
      <c r="J220" t="s">
        <v>66</v>
      </c>
      <c r="K220" s="2">
        <v>537.6</v>
      </c>
      <c r="L220" s="1">
        <v>35537.599999999999</v>
      </c>
    </row>
    <row r="221" spans="1:12" x14ac:dyDescent="0.35">
      <c r="A221" t="s">
        <v>244</v>
      </c>
      <c r="B221" t="s">
        <v>1</v>
      </c>
      <c r="C221" t="s">
        <v>19</v>
      </c>
      <c r="D221" t="s">
        <v>26</v>
      </c>
      <c r="E221" s="3">
        <v>292992</v>
      </c>
      <c r="F221">
        <v>98473</v>
      </c>
      <c r="G221">
        <v>72</v>
      </c>
      <c r="H221" s="1">
        <v>0</v>
      </c>
      <c r="I221" s="1" t="s">
        <v>1102</v>
      </c>
      <c r="J221" t="s">
        <v>11</v>
      </c>
      <c r="K221" s="2">
        <v>345.6</v>
      </c>
      <c r="L221" s="1">
        <v>35345.599999999999</v>
      </c>
    </row>
    <row r="222" spans="1:12" x14ac:dyDescent="0.35">
      <c r="A222" t="s">
        <v>245</v>
      </c>
      <c r="B222" t="s">
        <v>24</v>
      </c>
      <c r="C222" t="s">
        <v>13</v>
      </c>
      <c r="D222" t="s">
        <v>14</v>
      </c>
      <c r="E222" s="3">
        <v>596955</v>
      </c>
      <c r="F222">
        <v>97431</v>
      </c>
      <c r="G222">
        <v>74</v>
      </c>
      <c r="H222" s="1">
        <v>0</v>
      </c>
      <c r="I222" s="1" t="s">
        <v>1102</v>
      </c>
      <c r="J222" t="s">
        <v>11</v>
      </c>
      <c r="K222" s="2">
        <v>355.2</v>
      </c>
      <c r="L222" s="1">
        <v>35355.199999999997</v>
      </c>
    </row>
    <row r="223" spans="1:12" x14ac:dyDescent="0.35">
      <c r="A223" t="s">
        <v>246</v>
      </c>
      <c r="B223" t="s">
        <v>1</v>
      </c>
      <c r="C223" t="s">
        <v>19</v>
      </c>
      <c r="D223" t="s">
        <v>14</v>
      </c>
      <c r="E223" s="3">
        <v>547316</v>
      </c>
      <c r="F223">
        <v>93870</v>
      </c>
      <c r="G223">
        <v>69</v>
      </c>
      <c r="H223" s="1">
        <v>0</v>
      </c>
      <c r="I223" s="1" t="s">
        <v>1102</v>
      </c>
      <c r="J223" t="s">
        <v>11</v>
      </c>
      <c r="K223" s="2">
        <v>331.2</v>
      </c>
      <c r="L223" s="1">
        <v>35331.199999999997</v>
      </c>
    </row>
    <row r="224" spans="1:12" x14ac:dyDescent="0.35">
      <c r="A224" t="s">
        <v>247</v>
      </c>
      <c r="B224" t="s">
        <v>16</v>
      </c>
      <c r="C224" t="s">
        <v>19</v>
      </c>
      <c r="D224" t="s">
        <v>22</v>
      </c>
      <c r="E224" s="3">
        <v>564540</v>
      </c>
      <c r="F224">
        <v>50366</v>
      </c>
      <c r="G224">
        <v>72</v>
      </c>
      <c r="H224" s="1">
        <v>0</v>
      </c>
      <c r="I224" s="1" t="s">
        <v>1102</v>
      </c>
      <c r="J224" t="s">
        <v>11</v>
      </c>
      <c r="K224" s="2">
        <v>428.73465599999997</v>
      </c>
      <c r="L224" s="1">
        <v>35428.734655995402</v>
      </c>
    </row>
    <row r="225" spans="1:12" x14ac:dyDescent="0.35">
      <c r="A225" t="s">
        <v>248</v>
      </c>
      <c r="B225" t="s">
        <v>8</v>
      </c>
      <c r="C225" t="s">
        <v>19</v>
      </c>
      <c r="D225" t="s">
        <v>22</v>
      </c>
      <c r="E225" s="3">
        <v>636926</v>
      </c>
      <c r="F225">
        <v>34498</v>
      </c>
      <c r="G225">
        <v>83</v>
      </c>
      <c r="H225" s="1">
        <v>0</v>
      </c>
      <c r="I225" s="1" t="s">
        <v>1102</v>
      </c>
      <c r="J225" t="s">
        <v>17</v>
      </c>
      <c r="K225" s="2">
        <v>398.4</v>
      </c>
      <c r="L225" s="1">
        <v>35398.400000000001</v>
      </c>
    </row>
    <row r="226" spans="1:12" x14ac:dyDescent="0.35">
      <c r="A226" t="s">
        <v>249</v>
      </c>
      <c r="B226" t="s">
        <v>24</v>
      </c>
      <c r="C226" t="s">
        <v>13</v>
      </c>
      <c r="D226" t="s">
        <v>26</v>
      </c>
      <c r="E226" s="3">
        <v>1183377</v>
      </c>
      <c r="F226">
        <v>16552</v>
      </c>
      <c r="G226">
        <v>103</v>
      </c>
      <c r="H226" s="1">
        <v>0</v>
      </c>
      <c r="I226" s="1" t="s">
        <v>1102</v>
      </c>
      <c r="J226" t="s">
        <v>20</v>
      </c>
      <c r="K226" s="2">
        <v>494.4</v>
      </c>
      <c r="L226" s="1">
        <v>35494.400000000001</v>
      </c>
    </row>
    <row r="227" spans="1:12" x14ac:dyDescent="0.35">
      <c r="A227" t="s">
        <v>250</v>
      </c>
      <c r="B227" t="s">
        <v>24</v>
      </c>
      <c r="C227" t="s">
        <v>13</v>
      </c>
      <c r="D227" t="s">
        <v>26</v>
      </c>
      <c r="E227" s="3">
        <v>612111</v>
      </c>
      <c r="F227">
        <v>26787</v>
      </c>
      <c r="G227">
        <v>77</v>
      </c>
      <c r="H227" s="1">
        <v>0</v>
      </c>
      <c r="I227" s="1" t="s">
        <v>1102</v>
      </c>
      <c r="J227" t="s">
        <v>11</v>
      </c>
      <c r="K227" s="2">
        <v>369.6</v>
      </c>
      <c r="L227" s="1">
        <v>35369.599999999999</v>
      </c>
    </row>
    <row r="228" spans="1:12" x14ac:dyDescent="0.35">
      <c r="A228" t="s">
        <v>251</v>
      </c>
      <c r="B228" t="s">
        <v>16</v>
      </c>
      <c r="C228" t="s">
        <v>19</v>
      </c>
      <c r="D228" t="s">
        <v>26</v>
      </c>
      <c r="E228" s="3">
        <v>515937</v>
      </c>
      <c r="F228">
        <v>0</v>
      </c>
      <c r="G228">
        <v>74</v>
      </c>
      <c r="H228" s="1">
        <v>0</v>
      </c>
      <c r="I228" s="1" t="s">
        <v>1102</v>
      </c>
      <c r="J228" t="s">
        <v>17</v>
      </c>
      <c r="K228" s="2">
        <v>831.75283899999999</v>
      </c>
      <c r="L228" s="1">
        <v>35831.752839004599</v>
      </c>
    </row>
    <row r="229" spans="1:12" x14ac:dyDescent="0.35">
      <c r="A229" t="s">
        <v>252</v>
      </c>
      <c r="B229" t="s">
        <v>16</v>
      </c>
      <c r="C229" t="s">
        <v>13</v>
      </c>
      <c r="D229" t="s">
        <v>22</v>
      </c>
      <c r="E229" s="3">
        <v>251459</v>
      </c>
      <c r="F229">
        <v>43860</v>
      </c>
      <c r="G229">
        <v>65</v>
      </c>
      <c r="H229" s="1">
        <v>0</v>
      </c>
      <c r="I229" s="1" t="s">
        <v>1105</v>
      </c>
      <c r="J229" t="s">
        <v>11</v>
      </c>
      <c r="K229" s="2">
        <v>156.12491399999999</v>
      </c>
      <c r="L229" s="1">
        <v>35156.124914004598</v>
      </c>
    </row>
    <row r="230" spans="1:12" x14ac:dyDescent="0.35">
      <c r="A230" t="s">
        <v>253</v>
      </c>
      <c r="B230" t="s">
        <v>28</v>
      </c>
      <c r="C230" t="s">
        <v>19</v>
      </c>
      <c r="D230" t="s">
        <v>22</v>
      </c>
      <c r="E230" s="3">
        <v>866861</v>
      </c>
      <c r="F230">
        <v>21474</v>
      </c>
      <c r="G230">
        <v>114</v>
      </c>
      <c r="H230" s="1">
        <v>36557</v>
      </c>
      <c r="I230" s="1" t="s">
        <v>1105</v>
      </c>
      <c r="J230" t="s">
        <v>20</v>
      </c>
      <c r="K230" s="2">
        <v>373.42818699999998</v>
      </c>
      <c r="L230" s="1">
        <v>35373.428187002297</v>
      </c>
    </row>
    <row r="231" spans="1:12" x14ac:dyDescent="0.35">
      <c r="A231" t="s">
        <v>254</v>
      </c>
      <c r="B231" t="s">
        <v>1</v>
      </c>
      <c r="C231" t="s">
        <v>19</v>
      </c>
      <c r="D231" t="s">
        <v>14</v>
      </c>
      <c r="E231" s="3">
        <v>496097</v>
      </c>
      <c r="F231">
        <v>18174</v>
      </c>
      <c r="G231">
        <v>66</v>
      </c>
      <c r="H231" s="1">
        <v>0</v>
      </c>
      <c r="I231" s="1" t="s">
        <v>1105</v>
      </c>
      <c r="J231" t="s">
        <v>11</v>
      </c>
      <c r="K231" s="2">
        <v>395.93481500000001</v>
      </c>
      <c r="L231" s="1">
        <v>35395.934815000001</v>
      </c>
    </row>
    <row r="232" spans="1:12" x14ac:dyDescent="0.35">
      <c r="A232" t="s">
        <v>255</v>
      </c>
      <c r="B232" t="s">
        <v>28</v>
      </c>
      <c r="C232" t="s">
        <v>13</v>
      </c>
      <c r="D232" t="s">
        <v>14</v>
      </c>
      <c r="E232" s="3">
        <v>550414</v>
      </c>
      <c r="F232">
        <v>0</v>
      </c>
      <c r="G232">
        <v>73</v>
      </c>
      <c r="H232" s="1">
        <v>0</v>
      </c>
      <c r="I232" s="1" t="s">
        <v>1105</v>
      </c>
      <c r="J232" t="s">
        <v>11</v>
      </c>
      <c r="K232" s="2">
        <v>350.4</v>
      </c>
      <c r="L232" s="1">
        <v>35350.400000000001</v>
      </c>
    </row>
    <row r="233" spans="1:12" x14ac:dyDescent="0.35">
      <c r="A233" t="s">
        <v>256</v>
      </c>
      <c r="B233" t="s">
        <v>28</v>
      </c>
      <c r="C233" t="s">
        <v>19</v>
      </c>
      <c r="D233" t="s">
        <v>26</v>
      </c>
      <c r="E233" s="3">
        <v>750746</v>
      </c>
      <c r="F233">
        <v>60920</v>
      </c>
      <c r="G233">
        <v>64</v>
      </c>
      <c r="H233" s="1">
        <v>0</v>
      </c>
      <c r="I233" s="1" t="s">
        <v>1102</v>
      </c>
      <c r="J233" t="s">
        <v>17</v>
      </c>
      <c r="K233" s="2">
        <v>231.201886</v>
      </c>
      <c r="L233" s="1">
        <v>35231.201885995397</v>
      </c>
    </row>
    <row r="234" spans="1:12" x14ac:dyDescent="0.35">
      <c r="A234" t="s">
        <v>257</v>
      </c>
      <c r="B234" t="s">
        <v>28</v>
      </c>
      <c r="C234" t="s">
        <v>19</v>
      </c>
      <c r="D234" t="s">
        <v>22</v>
      </c>
      <c r="E234" s="3">
        <v>3226985</v>
      </c>
      <c r="F234">
        <v>41520</v>
      </c>
      <c r="G234">
        <v>90</v>
      </c>
      <c r="H234" s="1">
        <v>0</v>
      </c>
      <c r="I234" s="1" t="s">
        <v>1102</v>
      </c>
      <c r="J234" t="s">
        <v>11</v>
      </c>
      <c r="K234" s="2">
        <v>289.90410500000002</v>
      </c>
      <c r="L234" s="1">
        <v>35289.904105000001</v>
      </c>
    </row>
    <row r="235" spans="1:12" x14ac:dyDescent="0.35">
      <c r="A235" t="s">
        <v>258</v>
      </c>
      <c r="B235" t="s">
        <v>24</v>
      </c>
      <c r="C235" t="s">
        <v>13</v>
      </c>
      <c r="D235" t="s">
        <v>14</v>
      </c>
      <c r="E235" s="3">
        <v>565703</v>
      </c>
      <c r="F235">
        <v>0</v>
      </c>
      <c r="G235">
        <v>152</v>
      </c>
      <c r="H235" s="1">
        <v>0</v>
      </c>
      <c r="I235" s="1" t="s">
        <v>1102</v>
      </c>
      <c r="J235" t="s">
        <v>20</v>
      </c>
      <c r="K235" s="2">
        <v>729.6</v>
      </c>
      <c r="L235" s="1">
        <v>35729.599999999999</v>
      </c>
    </row>
    <row r="236" spans="1:12" x14ac:dyDescent="0.35">
      <c r="A236" t="s">
        <v>259</v>
      </c>
      <c r="B236" t="s">
        <v>28</v>
      </c>
      <c r="C236" t="s">
        <v>19</v>
      </c>
      <c r="D236" t="s">
        <v>22</v>
      </c>
      <c r="E236" s="3">
        <v>506176</v>
      </c>
      <c r="F236">
        <v>0</v>
      </c>
      <c r="G236">
        <v>68</v>
      </c>
      <c r="H236" s="1">
        <v>0</v>
      </c>
      <c r="I236" s="1" t="s">
        <v>1102</v>
      </c>
      <c r="J236" t="s">
        <v>17</v>
      </c>
      <c r="K236" s="2">
        <v>326.39999999999998</v>
      </c>
      <c r="L236" s="1">
        <v>35326.400000000001</v>
      </c>
    </row>
    <row r="237" spans="1:12" x14ac:dyDescent="0.35">
      <c r="A237" t="s">
        <v>260</v>
      </c>
      <c r="B237" t="s">
        <v>1</v>
      </c>
      <c r="C237" t="s">
        <v>19</v>
      </c>
      <c r="D237" t="s">
        <v>14</v>
      </c>
      <c r="E237" s="3">
        <v>591278</v>
      </c>
      <c r="F237">
        <v>72208</v>
      </c>
      <c r="G237">
        <v>73</v>
      </c>
      <c r="H237" s="1">
        <v>0</v>
      </c>
      <c r="I237" s="1" t="s">
        <v>1102</v>
      </c>
      <c r="J237" t="s">
        <v>17</v>
      </c>
      <c r="K237" s="2">
        <v>350.4</v>
      </c>
      <c r="L237" s="1">
        <v>35350.400000000001</v>
      </c>
    </row>
    <row r="238" spans="1:12" x14ac:dyDescent="0.35">
      <c r="A238" t="s">
        <v>261</v>
      </c>
      <c r="B238" t="s">
        <v>1</v>
      </c>
      <c r="C238" t="s">
        <v>13</v>
      </c>
      <c r="D238" t="s">
        <v>14</v>
      </c>
      <c r="E238" s="3">
        <v>1518228</v>
      </c>
      <c r="F238">
        <v>53863</v>
      </c>
      <c r="G238">
        <v>63</v>
      </c>
      <c r="H238" s="1">
        <v>0</v>
      </c>
      <c r="I238" s="1" t="s">
        <v>1102</v>
      </c>
      <c r="J238" t="s">
        <v>11</v>
      </c>
      <c r="K238" s="2">
        <v>105.765111</v>
      </c>
      <c r="L238" s="1">
        <v>35105.765110995402</v>
      </c>
    </row>
    <row r="239" spans="1:12" x14ac:dyDescent="0.35">
      <c r="A239" t="s">
        <v>262</v>
      </c>
      <c r="B239" t="s">
        <v>8</v>
      </c>
      <c r="C239" t="s">
        <v>19</v>
      </c>
      <c r="D239" t="s">
        <v>26</v>
      </c>
      <c r="E239" s="3">
        <v>1074703</v>
      </c>
      <c r="F239">
        <v>66446</v>
      </c>
      <c r="G239">
        <v>136</v>
      </c>
      <c r="H239" s="1">
        <v>0</v>
      </c>
      <c r="I239" s="1" t="s">
        <v>1105</v>
      </c>
      <c r="J239" t="s">
        <v>20</v>
      </c>
      <c r="K239" s="2">
        <v>639.46454800000004</v>
      </c>
      <c r="L239" s="1">
        <v>35639.464547997697</v>
      </c>
    </row>
    <row r="240" spans="1:12" x14ac:dyDescent="0.35">
      <c r="A240" t="s">
        <v>263</v>
      </c>
      <c r="B240" t="s">
        <v>8</v>
      </c>
      <c r="C240" t="s">
        <v>19</v>
      </c>
      <c r="D240" t="s">
        <v>26</v>
      </c>
      <c r="E240" s="3">
        <v>205062</v>
      </c>
      <c r="F240">
        <v>0</v>
      </c>
      <c r="G240">
        <v>61</v>
      </c>
      <c r="H240" s="1">
        <v>0</v>
      </c>
      <c r="I240" s="1" t="s">
        <v>1102</v>
      </c>
      <c r="J240" t="s">
        <v>11</v>
      </c>
      <c r="K240" s="2">
        <v>292.8</v>
      </c>
      <c r="L240" s="1">
        <v>35292.800000000003</v>
      </c>
    </row>
    <row r="241" spans="1:12" x14ac:dyDescent="0.35">
      <c r="A241" t="s">
        <v>264</v>
      </c>
      <c r="B241" t="s">
        <v>8</v>
      </c>
      <c r="C241" t="s">
        <v>13</v>
      </c>
      <c r="D241" t="s">
        <v>14</v>
      </c>
      <c r="E241" s="3">
        <v>246544</v>
      </c>
      <c r="F241">
        <v>64997</v>
      </c>
      <c r="G241">
        <v>63</v>
      </c>
      <c r="H241" s="1">
        <v>36526</v>
      </c>
      <c r="I241" s="1" t="s">
        <v>1102</v>
      </c>
      <c r="J241" t="s">
        <v>11</v>
      </c>
      <c r="K241" s="2">
        <v>383.44232799999997</v>
      </c>
      <c r="L241" s="1">
        <v>35383.442327997698</v>
      </c>
    </row>
    <row r="242" spans="1:12" x14ac:dyDescent="0.35">
      <c r="A242" t="s">
        <v>265</v>
      </c>
      <c r="B242" t="s">
        <v>16</v>
      </c>
      <c r="C242" t="s">
        <v>13</v>
      </c>
      <c r="D242" t="s">
        <v>22</v>
      </c>
      <c r="E242" s="3">
        <v>534312</v>
      </c>
      <c r="F242">
        <v>64460</v>
      </c>
      <c r="G242">
        <v>66</v>
      </c>
      <c r="H242" s="1">
        <v>0</v>
      </c>
      <c r="I242" s="1" t="s">
        <v>1105</v>
      </c>
      <c r="J242" t="s">
        <v>17</v>
      </c>
      <c r="K242" s="2">
        <v>316.8</v>
      </c>
      <c r="L242" s="1">
        <v>35316.800000000003</v>
      </c>
    </row>
    <row r="243" spans="1:12" x14ac:dyDescent="0.35">
      <c r="A243" t="s">
        <v>266</v>
      </c>
      <c r="B243" t="s">
        <v>28</v>
      </c>
      <c r="C243" t="s">
        <v>13</v>
      </c>
      <c r="D243" t="s">
        <v>26</v>
      </c>
      <c r="E243" s="3">
        <v>811983</v>
      </c>
      <c r="F243">
        <v>46618</v>
      </c>
      <c r="G243">
        <v>67</v>
      </c>
      <c r="H243" s="1">
        <v>0</v>
      </c>
      <c r="I243" s="1" t="s">
        <v>1102</v>
      </c>
      <c r="J243" t="s">
        <v>11</v>
      </c>
      <c r="K243" s="2">
        <v>99.085943</v>
      </c>
      <c r="L243" s="1">
        <v>35099.085942997699</v>
      </c>
    </row>
    <row r="244" spans="1:12" x14ac:dyDescent="0.35">
      <c r="A244" t="s">
        <v>267</v>
      </c>
      <c r="B244" t="s">
        <v>24</v>
      </c>
      <c r="C244" t="s">
        <v>13</v>
      </c>
      <c r="D244" t="s">
        <v>26</v>
      </c>
      <c r="E244" s="3">
        <v>460527</v>
      </c>
      <c r="F244">
        <v>0</v>
      </c>
      <c r="G244">
        <v>64</v>
      </c>
      <c r="H244" s="1">
        <v>0</v>
      </c>
      <c r="I244" s="1" t="s">
        <v>1105</v>
      </c>
      <c r="J244" t="s">
        <v>11</v>
      </c>
      <c r="K244" s="2">
        <v>307.2</v>
      </c>
      <c r="L244" s="1">
        <v>35307.199999999997</v>
      </c>
    </row>
    <row r="245" spans="1:12" x14ac:dyDescent="0.35">
      <c r="A245" t="s">
        <v>268</v>
      </c>
      <c r="B245" t="s">
        <v>1</v>
      </c>
      <c r="C245" t="s">
        <v>19</v>
      </c>
      <c r="D245" t="s">
        <v>26</v>
      </c>
      <c r="E245" s="3">
        <v>640879</v>
      </c>
      <c r="F245">
        <v>49988</v>
      </c>
      <c r="G245">
        <v>84</v>
      </c>
      <c r="H245" s="1">
        <v>36647</v>
      </c>
      <c r="I245" s="1" t="s">
        <v>1102</v>
      </c>
      <c r="J245" t="s">
        <v>17</v>
      </c>
      <c r="K245" s="2">
        <v>566.935022</v>
      </c>
      <c r="L245" s="1">
        <v>35566.935022002297</v>
      </c>
    </row>
    <row r="246" spans="1:12" x14ac:dyDescent="0.35">
      <c r="A246" t="s">
        <v>269</v>
      </c>
      <c r="B246" t="s">
        <v>1</v>
      </c>
      <c r="C246" t="s">
        <v>13</v>
      </c>
      <c r="D246" t="s">
        <v>26</v>
      </c>
      <c r="E246" s="3">
        <v>237653</v>
      </c>
      <c r="F246">
        <v>0</v>
      </c>
      <c r="G246">
        <v>91</v>
      </c>
      <c r="H246" s="1">
        <v>36647</v>
      </c>
      <c r="I246" s="1" t="s">
        <v>1102</v>
      </c>
      <c r="J246" t="s">
        <v>17</v>
      </c>
      <c r="K246" s="2">
        <v>436.8</v>
      </c>
      <c r="L246" s="1">
        <v>35436.800000000003</v>
      </c>
    </row>
    <row r="247" spans="1:12" x14ac:dyDescent="0.35">
      <c r="A247" t="s">
        <v>270</v>
      </c>
      <c r="B247" t="s">
        <v>1</v>
      </c>
      <c r="C247" t="s">
        <v>19</v>
      </c>
      <c r="D247" t="s">
        <v>14</v>
      </c>
      <c r="E247" s="3">
        <v>321107</v>
      </c>
      <c r="F247">
        <v>16269</v>
      </c>
      <c r="G247">
        <v>86</v>
      </c>
      <c r="H247" s="1">
        <v>0</v>
      </c>
      <c r="I247" s="1" t="s">
        <v>1105</v>
      </c>
      <c r="J247" t="s">
        <v>17</v>
      </c>
      <c r="K247" s="2">
        <v>412.8</v>
      </c>
      <c r="L247" s="1">
        <v>35412.800000000003</v>
      </c>
    </row>
    <row r="248" spans="1:12" x14ac:dyDescent="0.35">
      <c r="A248" t="s">
        <v>271</v>
      </c>
      <c r="B248" t="s">
        <v>28</v>
      </c>
      <c r="C248" t="s">
        <v>13</v>
      </c>
      <c r="D248" t="s">
        <v>14</v>
      </c>
      <c r="E248" s="3">
        <v>509452</v>
      </c>
      <c r="F248">
        <v>72006</v>
      </c>
      <c r="G248">
        <v>64</v>
      </c>
      <c r="H248" s="1">
        <v>0</v>
      </c>
      <c r="I248" s="1" t="s">
        <v>1102</v>
      </c>
      <c r="J248" t="s">
        <v>11</v>
      </c>
      <c r="K248" s="2">
        <v>307.2</v>
      </c>
      <c r="L248" s="1">
        <v>35307.199999999997</v>
      </c>
    </row>
    <row r="249" spans="1:12" x14ac:dyDescent="0.35">
      <c r="A249" t="s">
        <v>272</v>
      </c>
      <c r="B249" t="s">
        <v>28</v>
      </c>
      <c r="C249" t="s">
        <v>13</v>
      </c>
      <c r="D249" t="s">
        <v>22</v>
      </c>
      <c r="E249" s="3">
        <v>2575528</v>
      </c>
      <c r="F249">
        <v>0</v>
      </c>
      <c r="G249">
        <v>81</v>
      </c>
      <c r="H249" s="1">
        <v>36557</v>
      </c>
      <c r="I249" s="1" t="s">
        <v>1102</v>
      </c>
      <c r="J249" t="s">
        <v>11</v>
      </c>
      <c r="K249" s="2">
        <v>388.8</v>
      </c>
      <c r="L249" s="1">
        <v>35388.800000000003</v>
      </c>
    </row>
    <row r="250" spans="1:12" x14ac:dyDescent="0.35">
      <c r="A250" t="s">
        <v>273</v>
      </c>
      <c r="B250" t="s">
        <v>24</v>
      </c>
      <c r="C250" t="s">
        <v>19</v>
      </c>
      <c r="D250" t="s">
        <v>14</v>
      </c>
      <c r="E250" s="3">
        <v>867223</v>
      </c>
      <c r="F250">
        <v>0</v>
      </c>
      <c r="G250">
        <v>245</v>
      </c>
      <c r="H250" s="1">
        <v>0</v>
      </c>
      <c r="I250" s="1" t="s">
        <v>1105</v>
      </c>
      <c r="J250" t="s">
        <v>53</v>
      </c>
      <c r="K250" s="2">
        <v>2345.4134410000001</v>
      </c>
      <c r="L250" s="1">
        <v>37345.413440995399</v>
      </c>
    </row>
    <row r="251" spans="1:12" x14ac:dyDescent="0.35">
      <c r="A251" t="s">
        <v>274</v>
      </c>
      <c r="B251" t="s">
        <v>1</v>
      </c>
      <c r="C251" t="s">
        <v>19</v>
      </c>
      <c r="D251" t="s">
        <v>10</v>
      </c>
      <c r="E251" s="3">
        <v>804473</v>
      </c>
      <c r="F251">
        <v>44320</v>
      </c>
      <c r="G251">
        <v>67</v>
      </c>
      <c r="H251" s="1">
        <v>0</v>
      </c>
      <c r="I251" s="1" t="s">
        <v>1102</v>
      </c>
      <c r="J251" t="s">
        <v>11</v>
      </c>
      <c r="K251" s="2">
        <v>321.60000000000002</v>
      </c>
      <c r="L251" s="1">
        <v>35321.599999999999</v>
      </c>
    </row>
    <row r="252" spans="1:12" x14ac:dyDescent="0.35">
      <c r="A252" t="s">
        <v>275</v>
      </c>
      <c r="B252" t="s">
        <v>28</v>
      </c>
      <c r="C252" t="s">
        <v>13</v>
      </c>
      <c r="D252" t="s">
        <v>22</v>
      </c>
      <c r="E252" s="3">
        <v>400152</v>
      </c>
      <c r="F252">
        <v>19782</v>
      </c>
      <c r="G252">
        <v>108</v>
      </c>
      <c r="H252" s="1">
        <v>0</v>
      </c>
      <c r="I252" s="1" t="s">
        <v>1102</v>
      </c>
      <c r="J252" t="s">
        <v>17</v>
      </c>
      <c r="K252" s="2">
        <v>773.47097699999995</v>
      </c>
      <c r="L252" s="1">
        <v>35773.470977002296</v>
      </c>
    </row>
    <row r="253" spans="1:12" x14ac:dyDescent="0.35">
      <c r="A253" t="s">
        <v>276</v>
      </c>
      <c r="B253" t="s">
        <v>16</v>
      </c>
      <c r="C253" t="s">
        <v>13</v>
      </c>
      <c r="D253" t="s">
        <v>14</v>
      </c>
      <c r="E253" s="3">
        <v>1670612</v>
      </c>
      <c r="F253">
        <v>63933</v>
      </c>
      <c r="G253">
        <v>70</v>
      </c>
      <c r="H253" s="1">
        <v>0</v>
      </c>
      <c r="I253" s="1" t="s">
        <v>1102</v>
      </c>
      <c r="J253" t="s">
        <v>17</v>
      </c>
      <c r="K253" s="2">
        <v>424.88344799999999</v>
      </c>
      <c r="L253" s="1">
        <v>35424.883447997701</v>
      </c>
    </row>
    <row r="254" spans="1:12" x14ac:dyDescent="0.35">
      <c r="A254" t="s">
        <v>277</v>
      </c>
      <c r="B254" t="s">
        <v>28</v>
      </c>
      <c r="C254" t="s">
        <v>19</v>
      </c>
      <c r="D254" t="s">
        <v>68</v>
      </c>
      <c r="E254" s="3">
        <v>854441</v>
      </c>
      <c r="F254">
        <v>28224</v>
      </c>
      <c r="G254">
        <v>109</v>
      </c>
      <c r="H254" s="1">
        <v>0</v>
      </c>
      <c r="I254" s="1" t="s">
        <v>1102</v>
      </c>
      <c r="J254" t="s">
        <v>20</v>
      </c>
      <c r="K254" s="2">
        <v>523.20000000000005</v>
      </c>
      <c r="L254" s="1">
        <v>35523.199999999997</v>
      </c>
    </row>
    <row r="255" spans="1:12" x14ac:dyDescent="0.35">
      <c r="A255" t="s">
        <v>278</v>
      </c>
      <c r="B255" t="s">
        <v>8</v>
      </c>
      <c r="C255" t="s">
        <v>13</v>
      </c>
      <c r="D255" t="s">
        <v>26</v>
      </c>
      <c r="E255" s="3">
        <v>780531</v>
      </c>
      <c r="F255">
        <v>21073</v>
      </c>
      <c r="G255">
        <v>106</v>
      </c>
      <c r="H255" s="1">
        <v>36526</v>
      </c>
      <c r="I255" s="1" t="s">
        <v>1102</v>
      </c>
      <c r="J255" t="s">
        <v>20</v>
      </c>
      <c r="K255" s="2">
        <v>508.8</v>
      </c>
      <c r="L255" s="1">
        <v>35508.800000000003</v>
      </c>
    </row>
    <row r="256" spans="1:12" x14ac:dyDescent="0.35">
      <c r="A256" t="s">
        <v>279</v>
      </c>
      <c r="B256" t="s">
        <v>24</v>
      </c>
      <c r="C256" t="s">
        <v>19</v>
      </c>
      <c r="D256" t="s">
        <v>14</v>
      </c>
      <c r="E256" s="3">
        <v>611276</v>
      </c>
      <c r="F256">
        <v>63243</v>
      </c>
      <c r="G256">
        <v>77</v>
      </c>
      <c r="H256" s="1">
        <v>0</v>
      </c>
      <c r="I256" s="1" t="s">
        <v>1102</v>
      </c>
      <c r="J256" t="s">
        <v>11</v>
      </c>
      <c r="K256" s="2">
        <v>364.24030699999997</v>
      </c>
      <c r="L256" s="1">
        <v>35364.240307002299</v>
      </c>
    </row>
    <row r="257" spans="1:12" x14ac:dyDescent="0.35">
      <c r="A257" t="s">
        <v>280</v>
      </c>
      <c r="B257" t="s">
        <v>16</v>
      </c>
      <c r="C257" t="s">
        <v>19</v>
      </c>
      <c r="D257" t="s">
        <v>22</v>
      </c>
      <c r="E257" s="3">
        <v>477294</v>
      </c>
      <c r="F257">
        <v>20993</v>
      </c>
      <c r="G257">
        <v>133</v>
      </c>
      <c r="H257" s="1">
        <v>0</v>
      </c>
      <c r="I257" s="1" t="s">
        <v>1102</v>
      </c>
      <c r="J257" t="s">
        <v>20</v>
      </c>
      <c r="K257" s="2">
        <v>638.4</v>
      </c>
      <c r="L257" s="1">
        <v>35638.400000000001</v>
      </c>
    </row>
    <row r="258" spans="1:12" x14ac:dyDescent="0.35">
      <c r="A258" t="s">
        <v>281</v>
      </c>
      <c r="B258" t="s">
        <v>24</v>
      </c>
      <c r="C258" t="s">
        <v>13</v>
      </c>
      <c r="D258" t="s">
        <v>14</v>
      </c>
      <c r="E258" s="3">
        <v>1097910</v>
      </c>
      <c r="F258">
        <v>94827</v>
      </c>
      <c r="G258">
        <v>135</v>
      </c>
      <c r="H258" s="1">
        <v>0</v>
      </c>
      <c r="I258" s="1" t="s">
        <v>1102</v>
      </c>
      <c r="J258" t="s">
        <v>20</v>
      </c>
      <c r="K258" s="2">
        <v>354.729129</v>
      </c>
      <c r="L258" s="1">
        <v>35354.729129004598</v>
      </c>
    </row>
    <row r="259" spans="1:12" x14ac:dyDescent="0.35">
      <c r="A259" t="s">
        <v>282</v>
      </c>
      <c r="B259" t="s">
        <v>1</v>
      </c>
      <c r="C259" t="s">
        <v>13</v>
      </c>
      <c r="D259" t="s">
        <v>10</v>
      </c>
      <c r="E259" s="3">
        <v>500426</v>
      </c>
      <c r="F259">
        <v>39161</v>
      </c>
      <c r="G259">
        <v>63</v>
      </c>
      <c r="H259" s="1">
        <v>36526</v>
      </c>
      <c r="I259" s="1" t="s">
        <v>1102</v>
      </c>
      <c r="J259" t="s">
        <v>17</v>
      </c>
      <c r="K259" s="2">
        <v>283.99595299999999</v>
      </c>
      <c r="L259" s="1">
        <v>35283.995952997699</v>
      </c>
    </row>
    <row r="260" spans="1:12" x14ac:dyDescent="0.35">
      <c r="A260" t="s">
        <v>283</v>
      </c>
      <c r="B260" t="s">
        <v>8</v>
      </c>
      <c r="C260" t="s">
        <v>19</v>
      </c>
      <c r="D260" t="s">
        <v>14</v>
      </c>
      <c r="E260" s="3">
        <v>1322304</v>
      </c>
      <c r="F260">
        <v>37534</v>
      </c>
      <c r="G260">
        <v>84</v>
      </c>
      <c r="H260" s="1">
        <v>36557</v>
      </c>
      <c r="I260" s="1" t="s">
        <v>1102</v>
      </c>
      <c r="J260" t="s">
        <v>11</v>
      </c>
      <c r="K260" s="2">
        <v>403.2</v>
      </c>
      <c r="L260" s="1">
        <v>35403.199999999997</v>
      </c>
    </row>
    <row r="261" spans="1:12" x14ac:dyDescent="0.35">
      <c r="A261" t="s">
        <v>284</v>
      </c>
      <c r="B261" t="s">
        <v>24</v>
      </c>
      <c r="C261" t="s">
        <v>13</v>
      </c>
      <c r="D261" t="s">
        <v>14</v>
      </c>
      <c r="E261" s="3">
        <v>262332</v>
      </c>
      <c r="F261">
        <v>80210</v>
      </c>
      <c r="G261">
        <v>65</v>
      </c>
      <c r="H261" s="1">
        <v>0</v>
      </c>
      <c r="I261" s="1" t="s">
        <v>1105</v>
      </c>
      <c r="J261" t="s">
        <v>11</v>
      </c>
      <c r="K261" s="2">
        <v>20.543175999999999</v>
      </c>
      <c r="L261" s="1">
        <v>35020.543175995401</v>
      </c>
    </row>
    <row r="262" spans="1:12" x14ac:dyDescent="0.35">
      <c r="A262" t="s">
        <v>285</v>
      </c>
      <c r="B262" t="s">
        <v>1</v>
      </c>
      <c r="C262" t="s">
        <v>19</v>
      </c>
      <c r="D262" t="s">
        <v>14</v>
      </c>
      <c r="E262" s="3">
        <v>1784020</v>
      </c>
      <c r="F262">
        <v>0</v>
      </c>
      <c r="G262">
        <v>62</v>
      </c>
      <c r="H262" s="1">
        <v>0</v>
      </c>
      <c r="I262" s="1" t="s">
        <v>1102</v>
      </c>
      <c r="J262" t="s">
        <v>11</v>
      </c>
      <c r="K262" s="2">
        <v>385.11543699999999</v>
      </c>
      <c r="L262" s="1">
        <v>35385.1154370023</v>
      </c>
    </row>
    <row r="263" spans="1:12" x14ac:dyDescent="0.35">
      <c r="A263" t="s">
        <v>286</v>
      </c>
      <c r="B263" t="s">
        <v>1</v>
      </c>
      <c r="C263" t="s">
        <v>13</v>
      </c>
      <c r="D263" t="s">
        <v>26</v>
      </c>
      <c r="E263" s="3">
        <v>510611</v>
      </c>
      <c r="F263">
        <v>30110</v>
      </c>
      <c r="G263">
        <v>64</v>
      </c>
      <c r="H263" s="1">
        <v>0</v>
      </c>
      <c r="I263" s="1" t="s">
        <v>1102</v>
      </c>
      <c r="J263" t="s">
        <v>11</v>
      </c>
      <c r="K263" s="2">
        <v>140.16503499999999</v>
      </c>
      <c r="L263" s="1">
        <v>35140.165034999998</v>
      </c>
    </row>
    <row r="264" spans="1:12" x14ac:dyDescent="0.35">
      <c r="A264" t="s">
        <v>287</v>
      </c>
      <c r="B264" t="s">
        <v>28</v>
      </c>
      <c r="C264" t="s">
        <v>13</v>
      </c>
      <c r="D264" t="s">
        <v>26</v>
      </c>
      <c r="E264" s="3">
        <v>1793060</v>
      </c>
      <c r="F264">
        <v>21708</v>
      </c>
      <c r="G264">
        <v>68</v>
      </c>
      <c r="H264" s="1">
        <v>0</v>
      </c>
      <c r="I264" s="1" t="s">
        <v>1102</v>
      </c>
      <c r="J264" t="s">
        <v>11</v>
      </c>
      <c r="K264" s="2">
        <v>326.39999999999998</v>
      </c>
      <c r="L264" s="1">
        <v>35326.400000000001</v>
      </c>
    </row>
    <row r="265" spans="1:12" x14ac:dyDescent="0.35">
      <c r="A265" t="s">
        <v>288</v>
      </c>
      <c r="B265" t="s">
        <v>28</v>
      </c>
      <c r="C265" t="s">
        <v>19</v>
      </c>
      <c r="D265" t="s">
        <v>22</v>
      </c>
      <c r="E265" s="3">
        <v>545734</v>
      </c>
      <c r="F265">
        <v>94731</v>
      </c>
      <c r="G265">
        <v>67</v>
      </c>
      <c r="H265" s="1">
        <v>0</v>
      </c>
      <c r="I265" s="1" t="s">
        <v>1102</v>
      </c>
      <c r="J265" t="s">
        <v>11</v>
      </c>
      <c r="K265" s="2">
        <v>321.60000000000002</v>
      </c>
      <c r="L265" s="1">
        <v>35321.599999999999</v>
      </c>
    </row>
    <row r="266" spans="1:12" x14ac:dyDescent="0.35">
      <c r="A266" t="s">
        <v>289</v>
      </c>
      <c r="B266" t="s">
        <v>1</v>
      </c>
      <c r="C266" t="s">
        <v>19</v>
      </c>
      <c r="D266" t="s">
        <v>14</v>
      </c>
      <c r="E266" s="3">
        <v>656364</v>
      </c>
      <c r="F266">
        <v>32375</v>
      </c>
      <c r="G266">
        <v>83</v>
      </c>
      <c r="H266" s="1">
        <v>0</v>
      </c>
      <c r="I266" s="1" t="s">
        <v>1102</v>
      </c>
      <c r="J266" t="s">
        <v>11</v>
      </c>
      <c r="K266" s="2">
        <v>398.4</v>
      </c>
      <c r="L266" s="1">
        <v>35398.400000000001</v>
      </c>
    </row>
    <row r="267" spans="1:12" x14ac:dyDescent="0.35">
      <c r="A267" t="s">
        <v>290</v>
      </c>
      <c r="B267" t="s">
        <v>24</v>
      </c>
      <c r="C267" t="s">
        <v>19</v>
      </c>
      <c r="D267" t="s">
        <v>26</v>
      </c>
      <c r="E267" s="3">
        <v>481253</v>
      </c>
      <c r="F267">
        <v>16531</v>
      </c>
      <c r="G267">
        <v>63</v>
      </c>
      <c r="H267" s="1">
        <v>0</v>
      </c>
      <c r="I267" s="1" t="s">
        <v>1105</v>
      </c>
      <c r="J267" t="s">
        <v>11</v>
      </c>
      <c r="K267" s="2">
        <v>102.879769</v>
      </c>
      <c r="L267" s="1">
        <v>35102.879769004598</v>
      </c>
    </row>
    <row r="268" spans="1:12" x14ac:dyDescent="0.35">
      <c r="A268" t="s">
        <v>291</v>
      </c>
      <c r="B268" t="s">
        <v>28</v>
      </c>
      <c r="C268" t="s">
        <v>13</v>
      </c>
      <c r="D268" t="s">
        <v>10</v>
      </c>
      <c r="E268" s="3">
        <v>2932804</v>
      </c>
      <c r="F268">
        <v>32006</v>
      </c>
      <c r="G268">
        <v>94</v>
      </c>
      <c r="H268" s="1">
        <v>0</v>
      </c>
      <c r="I268" s="1" t="s">
        <v>1105</v>
      </c>
      <c r="J268" t="s">
        <v>11</v>
      </c>
      <c r="K268" s="2">
        <v>56.868288999999997</v>
      </c>
      <c r="L268" s="1">
        <v>35056.868289004597</v>
      </c>
    </row>
    <row r="269" spans="1:12" x14ac:dyDescent="0.35">
      <c r="A269" t="s">
        <v>292</v>
      </c>
      <c r="B269" t="s">
        <v>28</v>
      </c>
      <c r="C269" t="s">
        <v>13</v>
      </c>
      <c r="D269" t="s">
        <v>14</v>
      </c>
      <c r="E269" s="3">
        <v>577352</v>
      </c>
      <c r="F269">
        <v>81676</v>
      </c>
      <c r="G269">
        <v>72</v>
      </c>
      <c r="H269" s="1">
        <v>0</v>
      </c>
      <c r="I269" s="1" t="s">
        <v>1102</v>
      </c>
      <c r="J269" t="s">
        <v>17</v>
      </c>
      <c r="K269" s="2">
        <v>463.158502</v>
      </c>
      <c r="L269" s="1">
        <v>35463.158502002298</v>
      </c>
    </row>
    <row r="270" spans="1:12" x14ac:dyDescent="0.35">
      <c r="A270" t="s">
        <v>293</v>
      </c>
      <c r="B270" t="s">
        <v>1</v>
      </c>
      <c r="C270" t="s">
        <v>19</v>
      </c>
      <c r="D270" t="s">
        <v>26</v>
      </c>
      <c r="E270" s="3">
        <v>684712</v>
      </c>
      <c r="F270">
        <v>71038</v>
      </c>
      <c r="G270">
        <v>86</v>
      </c>
      <c r="H270" s="1">
        <v>0</v>
      </c>
      <c r="I270" s="1" t="s">
        <v>1105</v>
      </c>
      <c r="J270" t="s">
        <v>11</v>
      </c>
      <c r="K270" s="2">
        <v>205.44406599999999</v>
      </c>
      <c r="L270" s="1">
        <v>35205.444065995398</v>
      </c>
    </row>
    <row r="271" spans="1:12" x14ac:dyDescent="0.35">
      <c r="A271" t="s">
        <v>294</v>
      </c>
      <c r="B271" t="s">
        <v>28</v>
      </c>
      <c r="C271" t="s">
        <v>13</v>
      </c>
      <c r="D271" t="s">
        <v>22</v>
      </c>
      <c r="E271" s="3">
        <v>359531</v>
      </c>
      <c r="F271">
        <v>0</v>
      </c>
      <c r="G271">
        <v>103</v>
      </c>
      <c r="H271" s="1">
        <v>0</v>
      </c>
      <c r="I271" s="1" t="s">
        <v>1105</v>
      </c>
      <c r="J271" t="s">
        <v>66</v>
      </c>
      <c r="K271" s="2">
        <v>741.6</v>
      </c>
      <c r="L271" s="1">
        <v>35741.599999999999</v>
      </c>
    </row>
    <row r="272" spans="1:12" x14ac:dyDescent="0.35">
      <c r="A272" t="s">
        <v>295</v>
      </c>
      <c r="B272" t="s">
        <v>16</v>
      </c>
      <c r="C272" t="s">
        <v>13</v>
      </c>
      <c r="D272" t="s">
        <v>10</v>
      </c>
      <c r="E272" s="3">
        <v>2285561</v>
      </c>
      <c r="F272">
        <v>20832</v>
      </c>
      <c r="G272">
        <v>65</v>
      </c>
      <c r="H272" s="1">
        <v>0</v>
      </c>
      <c r="I272" s="1" t="s">
        <v>1102</v>
      </c>
      <c r="J272" t="s">
        <v>17</v>
      </c>
      <c r="K272" s="2">
        <v>56.371966999999998</v>
      </c>
      <c r="L272" s="1">
        <v>35056.371967002298</v>
      </c>
    </row>
    <row r="273" spans="1:12" x14ac:dyDescent="0.35">
      <c r="A273" t="s">
        <v>296</v>
      </c>
      <c r="B273" t="s">
        <v>8</v>
      </c>
      <c r="C273" t="s">
        <v>19</v>
      </c>
      <c r="D273" t="s">
        <v>22</v>
      </c>
      <c r="E273" s="3">
        <v>785941</v>
      </c>
      <c r="F273">
        <v>0</v>
      </c>
      <c r="G273">
        <v>113</v>
      </c>
      <c r="H273" s="1">
        <v>0</v>
      </c>
      <c r="I273" s="1" t="s">
        <v>1102</v>
      </c>
      <c r="J273" t="s">
        <v>20</v>
      </c>
      <c r="K273" s="2">
        <v>813.6</v>
      </c>
      <c r="L273" s="1">
        <v>35813.599999999999</v>
      </c>
    </row>
    <row r="274" spans="1:12" x14ac:dyDescent="0.35">
      <c r="A274" t="s">
        <v>297</v>
      </c>
      <c r="B274" t="s">
        <v>24</v>
      </c>
      <c r="C274" t="s">
        <v>19</v>
      </c>
      <c r="D274" t="s">
        <v>22</v>
      </c>
      <c r="E274" s="3">
        <v>411558</v>
      </c>
      <c r="F274">
        <v>52405</v>
      </c>
      <c r="G274">
        <v>103</v>
      </c>
      <c r="H274" s="1">
        <v>0</v>
      </c>
      <c r="I274" s="1" t="s">
        <v>1102</v>
      </c>
      <c r="J274" t="s">
        <v>11</v>
      </c>
      <c r="K274" s="2">
        <v>494.4</v>
      </c>
      <c r="L274" s="1">
        <v>35494.400000000001</v>
      </c>
    </row>
    <row r="275" spans="1:12" x14ac:dyDescent="0.35">
      <c r="A275" t="s">
        <v>298</v>
      </c>
      <c r="B275" t="s">
        <v>28</v>
      </c>
      <c r="C275" t="s">
        <v>13</v>
      </c>
      <c r="D275" t="s">
        <v>22</v>
      </c>
      <c r="E275" s="3">
        <v>502964</v>
      </c>
      <c r="F275">
        <v>0</v>
      </c>
      <c r="G275">
        <v>133</v>
      </c>
      <c r="H275" s="1">
        <v>0</v>
      </c>
      <c r="I275" s="1" t="s">
        <v>1102</v>
      </c>
      <c r="J275" t="s">
        <v>66</v>
      </c>
      <c r="K275" s="2">
        <v>795.86407899999995</v>
      </c>
      <c r="L275" s="1">
        <v>35795.864079004597</v>
      </c>
    </row>
    <row r="276" spans="1:12" x14ac:dyDescent="0.35">
      <c r="A276" t="s">
        <v>299</v>
      </c>
      <c r="B276" t="s">
        <v>8</v>
      </c>
      <c r="C276" t="s">
        <v>13</v>
      </c>
      <c r="D276" t="s">
        <v>14</v>
      </c>
      <c r="E276" s="3">
        <v>482142</v>
      </c>
      <c r="F276">
        <v>26583</v>
      </c>
      <c r="G276">
        <v>1005</v>
      </c>
      <c r="H276" s="1">
        <v>36617</v>
      </c>
      <c r="I276" s="1" t="s">
        <v>1102</v>
      </c>
      <c r="J276" t="s">
        <v>20</v>
      </c>
      <c r="K276" s="2">
        <v>614.4</v>
      </c>
      <c r="L276" s="1">
        <v>35614.400000000001</v>
      </c>
    </row>
    <row r="277" spans="1:12" x14ac:dyDescent="0.35">
      <c r="A277" t="s">
        <v>300</v>
      </c>
      <c r="B277" t="s">
        <v>24</v>
      </c>
      <c r="C277" t="s">
        <v>19</v>
      </c>
      <c r="D277" t="s">
        <v>10</v>
      </c>
      <c r="E277" s="3">
        <v>500431</v>
      </c>
      <c r="F277">
        <v>25486</v>
      </c>
      <c r="G277">
        <v>65</v>
      </c>
      <c r="H277" s="1">
        <v>0</v>
      </c>
      <c r="I277" s="1" t="s">
        <v>1112</v>
      </c>
      <c r="J277" t="s">
        <v>17</v>
      </c>
      <c r="K277" s="2">
        <v>72.438681000000003</v>
      </c>
      <c r="L277" s="1">
        <v>35072.438680995401</v>
      </c>
    </row>
    <row r="278" spans="1:12" x14ac:dyDescent="0.35">
      <c r="A278" t="s">
        <v>301</v>
      </c>
      <c r="B278" t="s">
        <v>28</v>
      </c>
      <c r="C278" t="s">
        <v>19</v>
      </c>
      <c r="D278" t="s">
        <v>26</v>
      </c>
      <c r="E278" s="3">
        <v>863005</v>
      </c>
      <c r="F278">
        <v>24065</v>
      </c>
      <c r="G278">
        <v>111</v>
      </c>
      <c r="H278" s="1">
        <v>0</v>
      </c>
      <c r="I278" s="1" t="s">
        <v>1105</v>
      </c>
      <c r="J278" t="s">
        <v>11</v>
      </c>
      <c r="K278" s="2">
        <v>532.79999999999995</v>
      </c>
      <c r="L278" s="1">
        <v>35532.800000000003</v>
      </c>
    </row>
    <row r="279" spans="1:12" x14ac:dyDescent="0.35">
      <c r="A279" t="s">
        <v>302</v>
      </c>
      <c r="B279" t="s">
        <v>28</v>
      </c>
      <c r="C279" t="s">
        <v>13</v>
      </c>
      <c r="D279" t="s">
        <v>22</v>
      </c>
      <c r="E279" s="3">
        <v>932209</v>
      </c>
      <c r="F279">
        <v>70435</v>
      </c>
      <c r="G279">
        <v>116</v>
      </c>
      <c r="H279" s="1">
        <v>0</v>
      </c>
      <c r="I279" s="1" t="s">
        <v>1102</v>
      </c>
      <c r="J279" t="s">
        <v>11</v>
      </c>
      <c r="K279" s="2">
        <v>67.881546</v>
      </c>
      <c r="L279" s="1">
        <v>35067.881545995398</v>
      </c>
    </row>
    <row r="280" spans="1:12" x14ac:dyDescent="0.35">
      <c r="A280" t="s">
        <v>303</v>
      </c>
      <c r="B280" t="s">
        <v>1</v>
      </c>
      <c r="C280" t="s">
        <v>19</v>
      </c>
      <c r="D280" t="s">
        <v>26</v>
      </c>
      <c r="E280" s="3">
        <v>1672756</v>
      </c>
      <c r="F280">
        <v>0</v>
      </c>
      <c r="G280">
        <v>76</v>
      </c>
      <c r="H280" s="1">
        <v>36557</v>
      </c>
      <c r="I280" s="1" t="s">
        <v>1102</v>
      </c>
      <c r="J280" t="s">
        <v>17</v>
      </c>
      <c r="K280" s="2">
        <v>402.63682899999998</v>
      </c>
      <c r="L280" s="1">
        <v>35402.636829004601</v>
      </c>
    </row>
    <row r="281" spans="1:12" x14ac:dyDescent="0.35">
      <c r="A281" t="s">
        <v>304</v>
      </c>
      <c r="B281" t="s">
        <v>24</v>
      </c>
      <c r="C281" t="s">
        <v>13</v>
      </c>
      <c r="D281" t="s">
        <v>22</v>
      </c>
      <c r="E281" s="3">
        <v>365253</v>
      </c>
      <c r="F281">
        <v>39679</v>
      </c>
      <c r="G281">
        <v>92</v>
      </c>
      <c r="H281" s="1">
        <v>0</v>
      </c>
      <c r="I281" s="1" t="s">
        <v>1102</v>
      </c>
      <c r="J281" t="s">
        <v>17</v>
      </c>
      <c r="K281" s="2">
        <v>641.38861599999996</v>
      </c>
      <c r="L281" s="1">
        <v>35641.388615995398</v>
      </c>
    </row>
    <row r="282" spans="1:12" x14ac:dyDescent="0.35">
      <c r="A282" t="s">
        <v>305</v>
      </c>
      <c r="B282" t="s">
        <v>16</v>
      </c>
      <c r="C282" t="s">
        <v>19</v>
      </c>
      <c r="D282" t="s">
        <v>26</v>
      </c>
      <c r="E282" s="3">
        <v>615860</v>
      </c>
      <c r="F282">
        <v>0</v>
      </c>
      <c r="G282">
        <v>89</v>
      </c>
      <c r="H282" s="1">
        <v>0</v>
      </c>
      <c r="I282" s="1" t="s">
        <v>1102</v>
      </c>
      <c r="J282" t="s">
        <v>11</v>
      </c>
      <c r="K282" s="2">
        <v>342.48117300000001</v>
      </c>
      <c r="L282" s="1">
        <v>35342.481172997701</v>
      </c>
    </row>
    <row r="283" spans="1:12" x14ac:dyDescent="0.35">
      <c r="A283" t="s">
        <v>306</v>
      </c>
      <c r="B283" t="s">
        <v>1</v>
      </c>
      <c r="C283" t="s">
        <v>19</v>
      </c>
      <c r="D283" t="s">
        <v>14</v>
      </c>
      <c r="E283" s="3">
        <v>437608</v>
      </c>
      <c r="F283">
        <v>0</v>
      </c>
      <c r="G283">
        <v>69</v>
      </c>
      <c r="H283" s="1">
        <v>36617</v>
      </c>
      <c r="I283" s="1" t="s">
        <v>1102</v>
      </c>
      <c r="J283" t="s">
        <v>17</v>
      </c>
      <c r="K283" s="2">
        <v>331.2</v>
      </c>
      <c r="L283" s="1">
        <v>35331.199999999997</v>
      </c>
    </row>
    <row r="284" spans="1:12" x14ac:dyDescent="0.35">
      <c r="A284" t="s">
        <v>307</v>
      </c>
      <c r="B284" t="s">
        <v>16</v>
      </c>
      <c r="C284" t="s">
        <v>19</v>
      </c>
      <c r="D284" t="s">
        <v>22</v>
      </c>
      <c r="E284" s="3">
        <v>556946</v>
      </c>
      <c r="F284">
        <v>53565</v>
      </c>
      <c r="G284">
        <v>71</v>
      </c>
      <c r="H284" s="1">
        <v>36526</v>
      </c>
      <c r="I284" s="1" t="s">
        <v>1102</v>
      </c>
      <c r="J284" t="s">
        <v>11</v>
      </c>
      <c r="K284" s="2">
        <v>340.8</v>
      </c>
      <c r="L284" s="1">
        <v>35340.800000000003</v>
      </c>
    </row>
    <row r="285" spans="1:12" x14ac:dyDescent="0.35">
      <c r="A285" t="s">
        <v>308</v>
      </c>
      <c r="B285" t="s">
        <v>8</v>
      </c>
      <c r="C285" t="s">
        <v>19</v>
      </c>
      <c r="D285" t="s">
        <v>14</v>
      </c>
      <c r="E285" s="3">
        <v>257651</v>
      </c>
      <c r="F285">
        <v>37574</v>
      </c>
      <c r="G285">
        <v>66</v>
      </c>
      <c r="H285" s="1">
        <v>36526</v>
      </c>
      <c r="I285" s="1" t="s">
        <v>1102</v>
      </c>
      <c r="J285" t="s">
        <v>17</v>
      </c>
      <c r="K285" s="2">
        <v>412.10193299999997</v>
      </c>
      <c r="L285" s="1">
        <v>35412.101932997699</v>
      </c>
    </row>
    <row r="286" spans="1:12" x14ac:dyDescent="0.35">
      <c r="A286" t="s">
        <v>309</v>
      </c>
      <c r="B286" t="s">
        <v>8</v>
      </c>
      <c r="C286" t="s">
        <v>19</v>
      </c>
      <c r="D286" t="s">
        <v>14</v>
      </c>
      <c r="E286" s="3">
        <v>834698</v>
      </c>
      <c r="F286">
        <v>48259</v>
      </c>
      <c r="G286">
        <v>108</v>
      </c>
      <c r="H286" s="1">
        <v>0</v>
      </c>
      <c r="I286" s="1" t="s">
        <v>1102</v>
      </c>
      <c r="J286" t="s">
        <v>17</v>
      </c>
      <c r="K286" s="2">
        <v>73.700573000000006</v>
      </c>
      <c r="L286" s="1">
        <v>35073.700572997703</v>
      </c>
    </row>
    <row r="287" spans="1:12" x14ac:dyDescent="0.35">
      <c r="A287" t="s">
        <v>310</v>
      </c>
      <c r="B287" t="s">
        <v>28</v>
      </c>
      <c r="C287" t="s">
        <v>13</v>
      </c>
      <c r="D287" t="s">
        <v>22</v>
      </c>
      <c r="E287" s="3">
        <v>632392</v>
      </c>
      <c r="F287">
        <v>78532</v>
      </c>
      <c r="G287">
        <v>78</v>
      </c>
      <c r="H287" s="1">
        <v>0</v>
      </c>
      <c r="I287" s="1" t="s">
        <v>1102</v>
      </c>
      <c r="J287" t="s">
        <v>11</v>
      </c>
      <c r="K287" s="2">
        <v>374.4</v>
      </c>
      <c r="L287" s="1">
        <v>35374.400000000001</v>
      </c>
    </row>
    <row r="288" spans="1:12" x14ac:dyDescent="0.35">
      <c r="A288" t="s">
        <v>311</v>
      </c>
      <c r="B288" t="s">
        <v>28</v>
      </c>
      <c r="C288" t="s">
        <v>13</v>
      </c>
      <c r="D288" t="s">
        <v>14</v>
      </c>
      <c r="E288" s="3">
        <v>597314</v>
      </c>
      <c r="F288">
        <v>96163</v>
      </c>
      <c r="G288">
        <v>73</v>
      </c>
      <c r="H288" s="1">
        <v>0</v>
      </c>
      <c r="I288" s="1" t="s">
        <v>1105</v>
      </c>
      <c r="J288" t="s">
        <v>11</v>
      </c>
      <c r="K288" s="2">
        <v>350.4</v>
      </c>
      <c r="L288" s="1">
        <v>35350.400000000001</v>
      </c>
    </row>
    <row r="289" spans="1:12" x14ac:dyDescent="0.35">
      <c r="A289" t="s">
        <v>312</v>
      </c>
      <c r="B289" t="s">
        <v>1</v>
      </c>
      <c r="C289" t="s">
        <v>19</v>
      </c>
      <c r="D289" t="s">
        <v>14</v>
      </c>
      <c r="E289" s="3">
        <v>470668</v>
      </c>
      <c r="F289">
        <v>0</v>
      </c>
      <c r="G289">
        <v>72</v>
      </c>
      <c r="H289" s="1">
        <v>0</v>
      </c>
      <c r="I289" s="1" t="s">
        <v>1102</v>
      </c>
      <c r="J289" t="s">
        <v>11</v>
      </c>
      <c r="K289" s="2">
        <v>345.6</v>
      </c>
      <c r="L289" s="1">
        <v>35345.599999999999</v>
      </c>
    </row>
    <row r="290" spans="1:12" x14ac:dyDescent="0.35">
      <c r="A290" t="s">
        <v>313</v>
      </c>
      <c r="B290" t="s">
        <v>1</v>
      </c>
      <c r="C290" t="s">
        <v>19</v>
      </c>
      <c r="D290" t="s">
        <v>22</v>
      </c>
      <c r="E290" s="3">
        <v>809341</v>
      </c>
      <c r="F290">
        <v>0</v>
      </c>
      <c r="G290">
        <v>114</v>
      </c>
      <c r="H290" s="1">
        <v>36526</v>
      </c>
      <c r="I290" s="1" t="s">
        <v>1102</v>
      </c>
      <c r="J290" t="s">
        <v>66</v>
      </c>
      <c r="K290" s="2">
        <v>722.02474199999995</v>
      </c>
      <c r="L290" s="1">
        <v>35722.024742002301</v>
      </c>
    </row>
    <row r="291" spans="1:12" x14ac:dyDescent="0.35">
      <c r="A291" t="s">
        <v>314</v>
      </c>
      <c r="B291" t="s">
        <v>8</v>
      </c>
      <c r="C291" t="s">
        <v>19</v>
      </c>
      <c r="D291" t="s">
        <v>26</v>
      </c>
      <c r="E291" s="3">
        <v>503574</v>
      </c>
      <c r="F291">
        <v>72672</v>
      </c>
      <c r="G291">
        <v>63</v>
      </c>
      <c r="H291" s="1">
        <v>0</v>
      </c>
      <c r="I291" s="1" t="s">
        <v>1102</v>
      </c>
      <c r="J291" t="s">
        <v>11</v>
      </c>
      <c r="K291" s="2">
        <v>259.36111699999998</v>
      </c>
      <c r="L291" s="1">
        <v>35259.3611170023</v>
      </c>
    </row>
    <row r="292" spans="1:12" x14ac:dyDescent="0.35">
      <c r="A292" t="s">
        <v>315</v>
      </c>
      <c r="B292" t="s">
        <v>24</v>
      </c>
      <c r="C292" t="s">
        <v>13</v>
      </c>
      <c r="D292" t="s">
        <v>14</v>
      </c>
      <c r="E292" s="3">
        <v>902787</v>
      </c>
      <c r="F292">
        <v>99002</v>
      </c>
      <c r="G292">
        <v>112</v>
      </c>
      <c r="H292" s="1">
        <v>36526</v>
      </c>
      <c r="I292" s="1" t="s">
        <v>1102</v>
      </c>
      <c r="J292" t="s">
        <v>11</v>
      </c>
      <c r="K292" s="2">
        <v>537.6</v>
      </c>
      <c r="L292" s="1">
        <v>35537.599999999999</v>
      </c>
    </row>
    <row r="293" spans="1:12" x14ac:dyDescent="0.35">
      <c r="A293" t="s">
        <v>316</v>
      </c>
      <c r="B293" t="s">
        <v>1</v>
      </c>
      <c r="C293" t="s">
        <v>19</v>
      </c>
      <c r="D293" t="s">
        <v>22</v>
      </c>
      <c r="E293" s="3">
        <v>728888</v>
      </c>
      <c r="F293">
        <v>79494</v>
      </c>
      <c r="G293">
        <v>91</v>
      </c>
      <c r="H293" s="1">
        <v>0</v>
      </c>
      <c r="I293" s="1" t="s">
        <v>1102</v>
      </c>
      <c r="J293" t="s">
        <v>11</v>
      </c>
      <c r="K293" s="2">
        <v>396.295614</v>
      </c>
      <c r="L293" s="1">
        <v>35396.295614004601</v>
      </c>
    </row>
    <row r="294" spans="1:12" x14ac:dyDescent="0.35">
      <c r="A294" t="s">
        <v>317</v>
      </c>
      <c r="B294" t="s">
        <v>24</v>
      </c>
      <c r="C294" t="s">
        <v>19</v>
      </c>
      <c r="D294" t="s">
        <v>10</v>
      </c>
      <c r="E294" s="3">
        <v>1804248</v>
      </c>
      <c r="F294">
        <v>35704</v>
      </c>
      <c r="G294">
        <v>225</v>
      </c>
      <c r="H294" s="1">
        <v>0</v>
      </c>
      <c r="I294" s="1" t="s">
        <v>1102</v>
      </c>
      <c r="J294" t="s">
        <v>104</v>
      </c>
      <c r="K294" s="2">
        <v>358.28156200000001</v>
      </c>
      <c r="L294" s="1">
        <v>35358.281562002303</v>
      </c>
    </row>
    <row r="295" spans="1:12" x14ac:dyDescent="0.35">
      <c r="A295" t="s">
        <v>318</v>
      </c>
      <c r="B295" t="s">
        <v>28</v>
      </c>
      <c r="C295" t="s">
        <v>13</v>
      </c>
      <c r="D295" t="s">
        <v>14</v>
      </c>
      <c r="E295" s="3">
        <v>499206</v>
      </c>
      <c r="F295">
        <v>0</v>
      </c>
      <c r="G295">
        <v>71</v>
      </c>
      <c r="H295" s="1">
        <v>0</v>
      </c>
      <c r="I295" s="1" t="s">
        <v>1105</v>
      </c>
      <c r="J295" t="s">
        <v>11</v>
      </c>
      <c r="K295" s="2">
        <v>653.38856399999997</v>
      </c>
      <c r="L295" s="1">
        <v>35653.388564004599</v>
      </c>
    </row>
    <row r="296" spans="1:12" x14ac:dyDescent="0.35">
      <c r="A296" t="s">
        <v>319</v>
      </c>
      <c r="B296" t="s">
        <v>24</v>
      </c>
      <c r="C296" t="s">
        <v>13</v>
      </c>
      <c r="D296" t="s">
        <v>22</v>
      </c>
      <c r="E296" s="3">
        <v>910227</v>
      </c>
      <c r="F296">
        <v>26049</v>
      </c>
      <c r="G296">
        <v>118</v>
      </c>
      <c r="H296" s="1">
        <v>0</v>
      </c>
      <c r="I296" s="1" t="s">
        <v>1102</v>
      </c>
      <c r="J296" t="s">
        <v>17</v>
      </c>
      <c r="K296" s="2">
        <v>121.032372</v>
      </c>
      <c r="L296" s="1">
        <v>35121.032372002301</v>
      </c>
    </row>
    <row r="297" spans="1:12" x14ac:dyDescent="0.35">
      <c r="A297" t="s">
        <v>320</v>
      </c>
      <c r="B297" t="s">
        <v>28</v>
      </c>
      <c r="C297" t="s">
        <v>19</v>
      </c>
      <c r="D297" t="s">
        <v>68</v>
      </c>
      <c r="E297" s="3">
        <v>254041</v>
      </c>
      <c r="F297">
        <v>70125</v>
      </c>
      <c r="G297">
        <v>64</v>
      </c>
      <c r="H297" s="1">
        <v>0</v>
      </c>
      <c r="I297" s="1" t="s">
        <v>1112</v>
      </c>
      <c r="J297" t="s">
        <v>11</v>
      </c>
      <c r="K297" s="2">
        <v>92.813395999999997</v>
      </c>
      <c r="L297" s="1">
        <v>35092.813395995399</v>
      </c>
    </row>
    <row r="298" spans="1:12" x14ac:dyDescent="0.35">
      <c r="A298" t="s">
        <v>321</v>
      </c>
      <c r="B298" t="s">
        <v>1</v>
      </c>
      <c r="C298" t="s">
        <v>19</v>
      </c>
      <c r="D298" t="s">
        <v>26</v>
      </c>
      <c r="E298" s="3">
        <v>1294189</v>
      </c>
      <c r="F298">
        <v>52369</v>
      </c>
      <c r="G298">
        <v>110</v>
      </c>
      <c r="H298" s="1">
        <v>36526</v>
      </c>
      <c r="I298" s="1" t="s">
        <v>1102</v>
      </c>
      <c r="J298" t="s">
        <v>20</v>
      </c>
      <c r="K298" s="2">
        <v>528</v>
      </c>
      <c r="L298" s="1">
        <v>35528</v>
      </c>
    </row>
    <row r="299" spans="1:12" x14ac:dyDescent="0.35">
      <c r="A299" t="s">
        <v>322</v>
      </c>
      <c r="B299" t="s">
        <v>8</v>
      </c>
      <c r="C299" t="s">
        <v>13</v>
      </c>
      <c r="D299" t="s">
        <v>14</v>
      </c>
      <c r="E299" s="3">
        <v>236535</v>
      </c>
      <c r="F299">
        <v>0</v>
      </c>
      <c r="G299">
        <v>66</v>
      </c>
      <c r="H299" s="1">
        <v>36557</v>
      </c>
      <c r="I299" s="1" t="s">
        <v>1112</v>
      </c>
      <c r="J299" t="s">
        <v>11</v>
      </c>
      <c r="K299" s="2">
        <v>159.636956</v>
      </c>
      <c r="L299" s="1">
        <v>35159.636955995396</v>
      </c>
    </row>
    <row r="300" spans="1:12" x14ac:dyDescent="0.35">
      <c r="A300" t="s">
        <v>323</v>
      </c>
      <c r="B300" t="s">
        <v>28</v>
      </c>
      <c r="C300" t="s">
        <v>19</v>
      </c>
      <c r="D300" t="s">
        <v>26</v>
      </c>
      <c r="E300" s="3">
        <v>572077</v>
      </c>
      <c r="F300">
        <v>41770</v>
      </c>
      <c r="G300">
        <v>72</v>
      </c>
      <c r="H300" s="1">
        <v>0</v>
      </c>
      <c r="I300" s="1" t="s">
        <v>1102</v>
      </c>
      <c r="J300" t="s">
        <v>11</v>
      </c>
      <c r="K300" s="2">
        <v>476.15695699999998</v>
      </c>
      <c r="L300" s="1">
        <v>35476.156957002298</v>
      </c>
    </row>
    <row r="301" spans="1:12" x14ac:dyDescent="0.35">
      <c r="A301" t="s">
        <v>324</v>
      </c>
      <c r="B301" t="s">
        <v>24</v>
      </c>
      <c r="C301" t="s">
        <v>19</v>
      </c>
      <c r="D301" t="s">
        <v>22</v>
      </c>
      <c r="E301" s="3">
        <v>703553</v>
      </c>
      <c r="F301">
        <v>0</v>
      </c>
      <c r="G301">
        <v>101</v>
      </c>
      <c r="H301" s="1">
        <v>0</v>
      </c>
      <c r="I301" s="1" t="s">
        <v>1105</v>
      </c>
      <c r="J301" t="s">
        <v>11</v>
      </c>
      <c r="K301" s="2">
        <v>727.2</v>
      </c>
      <c r="L301" s="1">
        <v>35727.199999999997</v>
      </c>
    </row>
    <row r="302" spans="1:12" x14ac:dyDescent="0.35">
      <c r="A302" t="s">
        <v>325</v>
      </c>
      <c r="B302" t="s">
        <v>1</v>
      </c>
      <c r="C302" t="s">
        <v>19</v>
      </c>
      <c r="D302" t="s">
        <v>26</v>
      </c>
      <c r="E302" s="3">
        <v>263698</v>
      </c>
      <c r="F302">
        <v>31911</v>
      </c>
      <c r="G302">
        <v>67</v>
      </c>
      <c r="H302" s="1">
        <v>0</v>
      </c>
      <c r="I302" s="1" t="s">
        <v>1102</v>
      </c>
      <c r="J302" t="s">
        <v>11</v>
      </c>
      <c r="K302" s="2">
        <v>321.60000000000002</v>
      </c>
      <c r="L302" s="1">
        <v>35321.599999999999</v>
      </c>
    </row>
    <row r="303" spans="1:12" x14ac:dyDescent="0.35">
      <c r="A303" t="s">
        <v>326</v>
      </c>
      <c r="B303" t="s">
        <v>16</v>
      </c>
      <c r="C303" t="s">
        <v>19</v>
      </c>
      <c r="D303" t="s">
        <v>14</v>
      </c>
      <c r="E303" s="3">
        <v>539583</v>
      </c>
      <c r="F303">
        <v>70051</v>
      </c>
      <c r="G303">
        <v>68</v>
      </c>
      <c r="H303" s="1">
        <v>0</v>
      </c>
      <c r="I303" s="1" t="s">
        <v>1105</v>
      </c>
      <c r="J303" t="s">
        <v>11</v>
      </c>
      <c r="K303" s="2">
        <v>42.078344999999999</v>
      </c>
      <c r="L303" s="1">
        <v>35042.078345000002</v>
      </c>
    </row>
    <row r="304" spans="1:12" x14ac:dyDescent="0.35">
      <c r="A304" t="s">
        <v>327</v>
      </c>
      <c r="B304" t="s">
        <v>24</v>
      </c>
      <c r="C304" t="s">
        <v>19</v>
      </c>
      <c r="D304" t="s">
        <v>22</v>
      </c>
      <c r="E304" s="3">
        <v>838263</v>
      </c>
      <c r="F304">
        <v>19683</v>
      </c>
      <c r="G304">
        <v>117</v>
      </c>
      <c r="H304" s="1">
        <v>36526</v>
      </c>
      <c r="I304" s="1" t="s">
        <v>1102</v>
      </c>
      <c r="J304" t="s">
        <v>66</v>
      </c>
      <c r="K304" s="2">
        <v>561.6</v>
      </c>
      <c r="L304" s="1">
        <v>35561.599999999999</v>
      </c>
    </row>
    <row r="305" spans="1:12" x14ac:dyDescent="0.35">
      <c r="A305" t="s">
        <v>328</v>
      </c>
      <c r="B305" t="s">
        <v>8</v>
      </c>
      <c r="C305" t="s">
        <v>13</v>
      </c>
      <c r="D305" t="s">
        <v>26</v>
      </c>
      <c r="E305" s="3">
        <v>3116175</v>
      </c>
      <c r="F305">
        <v>30916</v>
      </c>
      <c r="G305">
        <v>112</v>
      </c>
      <c r="H305" s="1">
        <v>0</v>
      </c>
      <c r="I305" s="1" t="s">
        <v>1102</v>
      </c>
      <c r="J305" t="s">
        <v>20</v>
      </c>
      <c r="K305" s="2">
        <v>200.11606</v>
      </c>
      <c r="L305" s="1">
        <v>35200.11606</v>
      </c>
    </row>
    <row r="306" spans="1:12" x14ac:dyDescent="0.35">
      <c r="A306" t="s">
        <v>329</v>
      </c>
      <c r="B306" t="s">
        <v>24</v>
      </c>
      <c r="C306" t="s">
        <v>13</v>
      </c>
      <c r="D306" t="s">
        <v>14</v>
      </c>
      <c r="E306" s="3">
        <v>288774</v>
      </c>
      <c r="F306">
        <v>0</v>
      </c>
      <c r="G306">
        <v>80</v>
      </c>
      <c r="H306" s="1">
        <v>0</v>
      </c>
      <c r="I306" s="1" t="s">
        <v>1102</v>
      </c>
      <c r="J306" t="s">
        <v>11</v>
      </c>
      <c r="K306" s="2">
        <v>676.94402300000002</v>
      </c>
      <c r="L306" s="1">
        <v>35676.944022997697</v>
      </c>
    </row>
    <row r="307" spans="1:12" x14ac:dyDescent="0.35">
      <c r="A307" t="s">
        <v>330</v>
      </c>
      <c r="B307" t="s">
        <v>8</v>
      </c>
      <c r="C307" t="s">
        <v>19</v>
      </c>
      <c r="D307" t="s">
        <v>26</v>
      </c>
      <c r="E307" s="3">
        <v>742585</v>
      </c>
      <c r="F307">
        <v>84302</v>
      </c>
      <c r="G307">
        <v>62</v>
      </c>
      <c r="H307" s="1">
        <v>0</v>
      </c>
      <c r="I307" s="1" t="s">
        <v>1102</v>
      </c>
      <c r="J307" t="s">
        <v>11</v>
      </c>
      <c r="K307" s="2">
        <v>76.609295000000003</v>
      </c>
      <c r="L307" s="1">
        <v>35076.609295000002</v>
      </c>
    </row>
    <row r="308" spans="1:12" x14ac:dyDescent="0.35">
      <c r="A308" t="s">
        <v>331</v>
      </c>
      <c r="B308" t="s">
        <v>1</v>
      </c>
      <c r="C308" t="s">
        <v>19</v>
      </c>
      <c r="D308" t="s">
        <v>14</v>
      </c>
      <c r="E308" s="3">
        <v>2558573</v>
      </c>
      <c r="F308">
        <v>0</v>
      </c>
      <c r="G308">
        <v>116</v>
      </c>
      <c r="H308" s="1">
        <v>0</v>
      </c>
      <c r="I308" s="1" t="s">
        <v>1105</v>
      </c>
      <c r="J308" t="s">
        <v>20</v>
      </c>
      <c r="K308" s="2">
        <v>830.623064</v>
      </c>
      <c r="L308" s="1">
        <v>35830.623064004598</v>
      </c>
    </row>
    <row r="309" spans="1:12" x14ac:dyDescent="0.35">
      <c r="A309" t="s">
        <v>332</v>
      </c>
      <c r="B309" t="s">
        <v>24</v>
      </c>
      <c r="C309" t="s">
        <v>19</v>
      </c>
      <c r="D309" t="s">
        <v>26</v>
      </c>
      <c r="E309" s="3">
        <v>1027261</v>
      </c>
      <c r="F309">
        <v>60145</v>
      </c>
      <c r="G309">
        <v>132</v>
      </c>
      <c r="H309" s="1">
        <v>0</v>
      </c>
      <c r="I309" s="1" t="s">
        <v>1102</v>
      </c>
      <c r="J309" t="s">
        <v>20</v>
      </c>
      <c r="K309" s="2">
        <v>580.47325899999998</v>
      </c>
      <c r="L309" s="1">
        <v>35580.473259004597</v>
      </c>
    </row>
    <row r="310" spans="1:12" x14ac:dyDescent="0.35">
      <c r="A310" t="s">
        <v>333</v>
      </c>
      <c r="B310" t="s">
        <v>24</v>
      </c>
      <c r="C310" t="s">
        <v>13</v>
      </c>
      <c r="D310" t="s">
        <v>14</v>
      </c>
      <c r="E310" s="3">
        <v>437636</v>
      </c>
      <c r="F310">
        <v>63774</v>
      </c>
      <c r="G310">
        <v>111</v>
      </c>
      <c r="H310" s="1">
        <v>0</v>
      </c>
      <c r="I310" s="1" t="s">
        <v>1102</v>
      </c>
      <c r="J310" t="s">
        <v>11</v>
      </c>
      <c r="K310" s="2">
        <v>60.036682999999996</v>
      </c>
      <c r="L310" s="1">
        <v>35060.036682997699</v>
      </c>
    </row>
    <row r="311" spans="1:12" x14ac:dyDescent="0.35">
      <c r="A311" t="s">
        <v>334</v>
      </c>
      <c r="B311" t="s">
        <v>1</v>
      </c>
      <c r="C311" t="s">
        <v>13</v>
      </c>
      <c r="D311" t="s">
        <v>14</v>
      </c>
      <c r="E311" s="3">
        <v>531890</v>
      </c>
      <c r="F311">
        <v>25134</v>
      </c>
      <c r="G311">
        <v>67</v>
      </c>
      <c r="H311" s="1">
        <v>0</v>
      </c>
      <c r="I311" s="1" t="s">
        <v>1105</v>
      </c>
      <c r="J311" t="s">
        <v>11</v>
      </c>
      <c r="K311" s="2">
        <v>321.60000000000002</v>
      </c>
      <c r="L311" s="1">
        <v>35321.599999999999</v>
      </c>
    </row>
    <row r="312" spans="1:12" x14ac:dyDescent="0.35">
      <c r="A312" t="s">
        <v>335</v>
      </c>
      <c r="B312" t="s">
        <v>24</v>
      </c>
      <c r="C312" t="s">
        <v>19</v>
      </c>
      <c r="D312" t="s">
        <v>14</v>
      </c>
      <c r="E312" s="3">
        <v>471976</v>
      </c>
      <c r="F312">
        <v>37057</v>
      </c>
      <c r="G312">
        <v>61</v>
      </c>
      <c r="H312" s="1">
        <v>36526</v>
      </c>
      <c r="I312" s="1" t="s">
        <v>1102</v>
      </c>
      <c r="J312" t="s">
        <v>11</v>
      </c>
      <c r="K312" s="2">
        <v>47.531010000000002</v>
      </c>
      <c r="L312" s="1">
        <v>35047.531009999999</v>
      </c>
    </row>
    <row r="313" spans="1:12" x14ac:dyDescent="0.35">
      <c r="A313" t="s">
        <v>336</v>
      </c>
      <c r="B313" t="s">
        <v>24</v>
      </c>
      <c r="C313" t="s">
        <v>13</v>
      </c>
      <c r="D313" t="s">
        <v>22</v>
      </c>
      <c r="E313" s="3">
        <v>442803</v>
      </c>
      <c r="F313">
        <v>58577</v>
      </c>
      <c r="G313">
        <v>110</v>
      </c>
      <c r="H313" s="1">
        <v>0</v>
      </c>
      <c r="I313" s="1" t="s">
        <v>1102</v>
      </c>
      <c r="J313" t="s">
        <v>20</v>
      </c>
      <c r="K313" s="2">
        <v>303.87275199999999</v>
      </c>
      <c r="L313" s="1">
        <v>35303.872752002302</v>
      </c>
    </row>
    <row r="314" spans="1:12" x14ac:dyDescent="0.35">
      <c r="A314" t="s">
        <v>337</v>
      </c>
      <c r="B314" t="s">
        <v>1</v>
      </c>
      <c r="C314" t="s">
        <v>19</v>
      </c>
      <c r="D314" t="s">
        <v>22</v>
      </c>
      <c r="E314" s="3">
        <v>587918</v>
      </c>
      <c r="F314">
        <v>85857</v>
      </c>
      <c r="G314">
        <v>73</v>
      </c>
      <c r="H314" s="1">
        <v>0</v>
      </c>
      <c r="I314" s="1" t="s">
        <v>1105</v>
      </c>
      <c r="J314" t="s">
        <v>11</v>
      </c>
      <c r="K314" s="2">
        <v>100.62006700000001</v>
      </c>
      <c r="L314" s="1">
        <v>35100.620067002303</v>
      </c>
    </row>
    <row r="315" spans="1:12" x14ac:dyDescent="0.35">
      <c r="A315" t="s">
        <v>338</v>
      </c>
      <c r="B315" t="s">
        <v>24</v>
      </c>
      <c r="C315" t="s">
        <v>13</v>
      </c>
      <c r="D315" t="s">
        <v>68</v>
      </c>
      <c r="E315" s="3">
        <v>941691</v>
      </c>
      <c r="F315">
        <v>70602</v>
      </c>
      <c r="G315">
        <v>116</v>
      </c>
      <c r="H315" s="1">
        <v>0</v>
      </c>
      <c r="I315" s="1" t="s">
        <v>1102</v>
      </c>
      <c r="J315" t="s">
        <v>20</v>
      </c>
      <c r="K315" s="2">
        <v>481.33989100000002</v>
      </c>
      <c r="L315" s="1">
        <v>35481.339890995398</v>
      </c>
    </row>
    <row r="316" spans="1:12" x14ac:dyDescent="0.35">
      <c r="A316" t="s">
        <v>339</v>
      </c>
      <c r="B316" t="s">
        <v>24</v>
      </c>
      <c r="C316" t="s">
        <v>13</v>
      </c>
      <c r="D316" t="s">
        <v>10</v>
      </c>
      <c r="E316" s="3">
        <v>828816</v>
      </c>
      <c r="F316">
        <v>33816</v>
      </c>
      <c r="G316">
        <v>106</v>
      </c>
      <c r="H316" s="1">
        <v>36557</v>
      </c>
      <c r="I316" s="1" t="s">
        <v>1105</v>
      </c>
      <c r="J316" t="s">
        <v>11</v>
      </c>
      <c r="K316" s="2">
        <v>508.8</v>
      </c>
      <c r="L316" s="1">
        <v>35508.800000000003</v>
      </c>
    </row>
    <row r="317" spans="1:12" x14ac:dyDescent="0.35">
      <c r="A317" t="s">
        <v>340</v>
      </c>
      <c r="B317" t="s">
        <v>24</v>
      </c>
      <c r="C317" t="s">
        <v>19</v>
      </c>
      <c r="D317" t="s">
        <v>14</v>
      </c>
      <c r="E317" s="3">
        <v>3265484</v>
      </c>
      <c r="F317">
        <v>0</v>
      </c>
      <c r="G317">
        <v>153</v>
      </c>
      <c r="H317" s="1">
        <v>0</v>
      </c>
      <c r="I317" s="1" t="s">
        <v>1102</v>
      </c>
      <c r="J317" t="s">
        <v>20</v>
      </c>
      <c r="K317" s="2">
        <v>1101.5999999999999</v>
      </c>
      <c r="L317" s="1">
        <v>36101.599999999999</v>
      </c>
    </row>
    <row r="318" spans="1:12" x14ac:dyDescent="0.35">
      <c r="A318" t="s">
        <v>341</v>
      </c>
      <c r="B318" t="s">
        <v>24</v>
      </c>
      <c r="C318" t="s">
        <v>13</v>
      </c>
      <c r="D318" t="s">
        <v>26</v>
      </c>
      <c r="E318" s="3">
        <v>471945</v>
      </c>
      <c r="F318">
        <v>89642</v>
      </c>
      <c r="G318">
        <v>121</v>
      </c>
      <c r="H318" s="1">
        <v>36617</v>
      </c>
      <c r="I318" s="1" t="s">
        <v>1105</v>
      </c>
      <c r="J318" t="s">
        <v>20</v>
      </c>
      <c r="K318" s="2">
        <v>86.320021999999994</v>
      </c>
      <c r="L318" s="1">
        <v>35086.320022002299</v>
      </c>
    </row>
    <row r="319" spans="1:12" x14ac:dyDescent="0.35">
      <c r="A319" t="s">
        <v>342</v>
      </c>
      <c r="B319" t="s">
        <v>1</v>
      </c>
      <c r="C319" t="s">
        <v>13</v>
      </c>
      <c r="D319" t="s">
        <v>14</v>
      </c>
      <c r="E319" s="3">
        <v>390347</v>
      </c>
      <c r="F319">
        <v>60068</v>
      </c>
      <c r="G319">
        <v>98</v>
      </c>
      <c r="H319" s="1">
        <v>0</v>
      </c>
      <c r="I319" s="1" t="s">
        <v>1102</v>
      </c>
      <c r="J319" t="s">
        <v>17</v>
      </c>
      <c r="K319" s="2">
        <v>470.4</v>
      </c>
      <c r="L319" s="1">
        <v>35470.400000000001</v>
      </c>
    </row>
    <row r="320" spans="1:12" x14ac:dyDescent="0.35">
      <c r="A320" t="s">
        <v>343</v>
      </c>
      <c r="B320" t="s">
        <v>1</v>
      </c>
      <c r="C320" t="s">
        <v>13</v>
      </c>
      <c r="D320" t="s">
        <v>14</v>
      </c>
      <c r="E320" s="3">
        <v>545726</v>
      </c>
      <c r="F320">
        <v>50044</v>
      </c>
      <c r="G320">
        <v>139</v>
      </c>
      <c r="H320" s="1">
        <v>0</v>
      </c>
      <c r="I320" s="1" t="s">
        <v>1102</v>
      </c>
      <c r="J320" t="s">
        <v>20</v>
      </c>
      <c r="K320" s="2">
        <v>667.2</v>
      </c>
      <c r="L320" s="1">
        <v>35667.199999999997</v>
      </c>
    </row>
    <row r="321" spans="1:12" x14ac:dyDescent="0.35">
      <c r="A321" t="s">
        <v>344</v>
      </c>
      <c r="B321" t="s">
        <v>1</v>
      </c>
      <c r="C321" t="s">
        <v>13</v>
      </c>
      <c r="D321" t="s">
        <v>10</v>
      </c>
      <c r="E321" s="3">
        <v>272536</v>
      </c>
      <c r="F321">
        <v>36650</v>
      </c>
      <c r="G321">
        <v>69</v>
      </c>
      <c r="H321" s="1">
        <v>36526</v>
      </c>
      <c r="I321" s="1" t="s">
        <v>1102</v>
      </c>
      <c r="J321" t="s">
        <v>11</v>
      </c>
      <c r="K321" s="2">
        <v>56.60333</v>
      </c>
      <c r="L321" s="1">
        <v>35056.603329999998</v>
      </c>
    </row>
    <row r="322" spans="1:12" x14ac:dyDescent="0.35">
      <c r="A322" t="s">
        <v>345</v>
      </c>
      <c r="B322" t="s">
        <v>28</v>
      </c>
      <c r="C322" t="s">
        <v>13</v>
      </c>
      <c r="D322" t="s">
        <v>26</v>
      </c>
      <c r="E322" s="3">
        <v>443397</v>
      </c>
      <c r="F322">
        <v>50653</v>
      </c>
      <c r="G322">
        <v>110</v>
      </c>
      <c r="H322" s="1">
        <v>0</v>
      </c>
      <c r="I322" s="1" t="s">
        <v>1105</v>
      </c>
      <c r="J322" t="s">
        <v>20</v>
      </c>
      <c r="K322" s="2">
        <v>262.86517199999997</v>
      </c>
      <c r="L322" s="1">
        <v>35262.865172002297</v>
      </c>
    </row>
    <row r="323" spans="1:12" x14ac:dyDescent="0.35">
      <c r="A323" t="s">
        <v>346</v>
      </c>
      <c r="B323" t="s">
        <v>28</v>
      </c>
      <c r="C323" t="s">
        <v>13</v>
      </c>
      <c r="D323" t="s">
        <v>68</v>
      </c>
      <c r="E323" s="3">
        <v>533246</v>
      </c>
      <c r="F323">
        <v>68931</v>
      </c>
      <c r="G323">
        <v>66</v>
      </c>
      <c r="H323" s="1">
        <v>0</v>
      </c>
      <c r="I323" s="1" t="s">
        <v>1102</v>
      </c>
      <c r="J323" t="s">
        <v>11</v>
      </c>
      <c r="K323" s="2">
        <v>309.577946</v>
      </c>
      <c r="L323" s="1">
        <v>35309.577945995399</v>
      </c>
    </row>
    <row r="324" spans="1:12" x14ac:dyDescent="0.35">
      <c r="A324" t="s">
        <v>347</v>
      </c>
      <c r="B324" t="s">
        <v>24</v>
      </c>
      <c r="C324" t="s">
        <v>19</v>
      </c>
      <c r="D324" t="s">
        <v>14</v>
      </c>
      <c r="E324" s="3">
        <v>231510</v>
      </c>
      <c r="F324">
        <v>0</v>
      </c>
      <c r="G324">
        <v>73</v>
      </c>
      <c r="H324" s="1">
        <v>36526</v>
      </c>
      <c r="I324" s="1" t="s">
        <v>1105</v>
      </c>
      <c r="J324" t="s">
        <v>11</v>
      </c>
      <c r="K324" s="2">
        <v>350.4</v>
      </c>
      <c r="L324" s="1">
        <v>35350.400000000001</v>
      </c>
    </row>
    <row r="325" spans="1:12" x14ac:dyDescent="0.35">
      <c r="A325" t="s">
        <v>348</v>
      </c>
      <c r="B325" t="s">
        <v>1</v>
      </c>
      <c r="C325" t="s">
        <v>13</v>
      </c>
      <c r="D325" t="s">
        <v>26</v>
      </c>
      <c r="E325" s="3">
        <v>541195</v>
      </c>
      <c r="F325">
        <v>0</v>
      </c>
      <c r="G325">
        <v>73</v>
      </c>
      <c r="H325" s="1">
        <v>0</v>
      </c>
      <c r="I325" s="1" t="s">
        <v>1102</v>
      </c>
      <c r="J325" t="s">
        <v>11</v>
      </c>
      <c r="K325" s="2">
        <v>365.36458099999999</v>
      </c>
      <c r="L325" s="1">
        <v>35365.364580995403</v>
      </c>
    </row>
    <row r="326" spans="1:12" x14ac:dyDescent="0.35">
      <c r="A326" t="s">
        <v>349</v>
      </c>
      <c r="B326" t="s">
        <v>1</v>
      </c>
      <c r="C326" t="s">
        <v>19</v>
      </c>
      <c r="D326" t="s">
        <v>14</v>
      </c>
      <c r="E326" s="3">
        <v>958733</v>
      </c>
      <c r="F326">
        <v>39266</v>
      </c>
      <c r="G326">
        <v>80</v>
      </c>
      <c r="H326" s="1">
        <v>0</v>
      </c>
      <c r="I326" s="1" t="s">
        <v>1102</v>
      </c>
      <c r="J326" t="s">
        <v>11</v>
      </c>
      <c r="K326" s="2">
        <v>384</v>
      </c>
      <c r="L326" s="1">
        <v>35384</v>
      </c>
    </row>
    <row r="327" spans="1:12" x14ac:dyDescent="0.35">
      <c r="A327" t="s">
        <v>350</v>
      </c>
      <c r="B327" t="s">
        <v>1</v>
      </c>
      <c r="C327" t="s">
        <v>19</v>
      </c>
      <c r="D327" t="s">
        <v>26</v>
      </c>
      <c r="E327" s="3">
        <v>2210351</v>
      </c>
      <c r="F327">
        <v>0</v>
      </c>
      <c r="G327">
        <v>102</v>
      </c>
      <c r="H327" s="1">
        <v>0</v>
      </c>
      <c r="I327" s="1" t="s">
        <v>1102</v>
      </c>
      <c r="J327" t="s">
        <v>20</v>
      </c>
      <c r="K327" s="2">
        <v>489.6</v>
      </c>
      <c r="L327" s="1">
        <v>35489.599999999999</v>
      </c>
    </row>
    <row r="328" spans="1:12" x14ac:dyDescent="0.35">
      <c r="A328" t="s">
        <v>351</v>
      </c>
      <c r="B328" t="s">
        <v>16</v>
      </c>
      <c r="C328" t="s">
        <v>13</v>
      </c>
      <c r="D328" t="s">
        <v>22</v>
      </c>
      <c r="E328" s="3">
        <v>976495</v>
      </c>
      <c r="F328">
        <v>0</v>
      </c>
      <c r="G328">
        <v>98</v>
      </c>
      <c r="H328" s="1">
        <v>36526</v>
      </c>
      <c r="I328" s="1" t="s">
        <v>1102</v>
      </c>
      <c r="J328" t="s">
        <v>11</v>
      </c>
      <c r="K328" s="2">
        <v>705.6</v>
      </c>
      <c r="L328" s="1">
        <v>35705.599999999999</v>
      </c>
    </row>
    <row r="329" spans="1:12" x14ac:dyDescent="0.35">
      <c r="A329" t="s">
        <v>352</v>
      </c>
      <c r="B329" t="s">
        <v>16</v>
      </c>
      <c r="C329" t="s">
        <v>13</v>
      </c>
      <c r="D329" t="s">
        <v>14</v>
      </c>
      <c r="E329" s="3">
        <v>256715</v>
      </c>
      <c r="F329">
        <v>40864</v>
      </c>
      <c r="G329">
        <v>65</v>
      </c>
      <c r="H329" s="1">
        <v>0</v>
      </c>
      <c r="I329" s="1" t="s">
        <v>1105</v>
      </c>
      <c r="J329" t="s">
        <v>11</v>
      </c>
      <c r="K329" s="2">
        <v>9.5152800000000006</v>
      </c>
      <c r="L329" s="1">
        <v>35009.51528</v>
      </c>
    </row>
    <row r="330" spans="1:12" x14ac:dyDescent="0.35">
      <c r="A330" t="s">
        <v>353</v>
      </c>
      <c r="B330" t="s">
        <v>24</v>
      </c>
      <c r="C330" t="s">
        <v>13</v>
      </c>
      <c r="D330" t="s">
        <v>26</v>
      </c>
      <c r="E330" s="3">
        <v>265062</v>
      </c>
      <c r="F330">
        <v>39035</v>
      </c>
      <c r="G330">
        <v>68</v>
      </c>
      <c r="H330" s="1">
        <v>0</v>
      </c>
      <c r="I330" s="1" t="s">
        <v>1102</v>
      </c>
      <c r="J330" t="s">
        <v>11</v>
      </c>
      <c r="K330" s="2">
        <v>244.564334</v>
      </c>
      <c r="L330" s="1">
        <v>35244.564334004601</v>
      </c>
    </row>
    <row r="331" spans="1:12" x14ac:dyDescent="0.35">
      <c r="A331" t="s">
        <v>354</v>
      </c>
      <c r="B331" t="s">
        <v>1</v>
      </c>
      <c r="C331" t="s">
        <v>19</v>
      </c>
      <c r="D331" t="s">
        <v>14</v>
      </c>
      <c r="E331" s="3">
        <v>1126436</v>
      </c>
      <c r="F331">
        <v>34923</v>
      </c>
      <c r="G331">
        <v>98</v>
      </c>
      <c r="H331" s="1">
        <v>0</v>
      </c>
      <c r="I331" s="1" t="s">
        <v>1102</v>
      </c>
      <c r="J331" t="s">
        <v>17</v>
      </c>
      <c r="K331" s="2">
        <v>639.10555599999998</v>
      </c>
      <c r="L331" s="1">
        <v>35639.105555995397</v>
      </c>
    </row>
    <row r="332" spans="1:12" x14ac:dyDescent="0.35">
      <c r="A332" t="s">
        <v>355</v>
      </c>
      <c r="B332" t="s">
        <v>1</v>
      </c>
      <c r="C332" t="s">
        <v>19</v>
      </c>
      <c r="D332" t="s">
        <v>22</v>
      </c>
      <c r="E332" s="3">
        <v>216852</v>
      </c>
      <c r="F332">
        <v>0</v>
      </c>
      <c r="G332">
        <v>63</v>
      </c>
      <c r="H332" s="1">
        <v>0</v>
      </c>
      <c r="I332" s="1" t="s">
        <v>1102</v>
      </c>
      <c r="J332" t="s">
        <v>11</v>
      </c>
      <c r="K332" s="2">
        <v>453.6</v>
      </c>
      <c r="L332" s="1">
        <v>35453.599999999999</v>
      </c>
    </row>
    <row r="333" spans="1:12" x14ac:dyDescent="0.35">
      <c r="A333" t="s">
        <v>356</v>
      </c>
      <c r="B333" t="s">
        <v>1</v>
      </c>
      <c r="C333" t="s">
        <v>13</v>
      </c>
      <c r="D333" t="s">
        <v>22</v>
      </c>
      <c r="E333" s="3">
        <v>861067</v>
      </c>
      <c r="F333">
        <v>0</v>
      </c>
      <c r="G333">
        <v>111</v>
      </c>
      <c r="H333" s="1">
        <v>0</v>
      </c>
      <c r="I333" s="1" t="s">
        <v>1105</v>
      </c>
      <c r="J333" t="s">
        <v>20</v>
      </c>
      <c r="K333" s="2">
        <v>532.79999999999995</v>
      </c>
      <c r="L333" s="1">
        <v>35532.800000000003</v>
      </c>
    </row>
    <row r="334" spans="1:12" x14ac:dyDescent="0.35">
      <c r="A334" t="s">
        <v>357</v>
      </c>
      <c r="B334" t="s">
        <v>1</v>
      </c>
      <c r="C334" t="s">
        <v>13</v>
      </c>
      <c r="D334" t="s">
        <v>26</v>
      </c>
      <c r="E334" s="3">
        <v>283465</v>
      </c>
      <c r="F334">
        <v>24506</v>
      </c>
      <c r="G334">
        <v>71</v>
      </c>
      <c r="H334" s="1">
        <v>0</v>
      </c>
      <c r="I334" s="1" t="s">
        <v>1102</v>
      </c>
      <c r="J334" t="s">
        <v>17</v>
      </c>
      <c r="K334" s="2">
        <v>511.2</v>
      </c>
      <c r="L334" s="1">
        <v>35511.199999999997</v>
      </c>
    </row>
    <row r="335" spans="1:12" x14ac:dyDescent="0.35">
      <c r="A335" t="s">
        <v>358</v>
      </c>
      <c r="B335" t="s">
        <v>24</v>
      </c>
      <c r="C335" t="s">
        <v>19</v>
      </c>
      <c r="D335" t="s">
        <v>22</v>
      </c>
      <c r="E335" s="3">
        <v>893014</v>
      </c>
      <c r="F335">
        <v>0</v>
      </c>
      <c r="G335">
        <v>82</v>
      </c>
      <c r="H335" s="1">
        <v>0</v>
      </c>
      <c r="I335" s="1" t="s">
        <v>1102</v>
      </c>
      <c r="J335" t="s">
        <v>11</v>
      </c>
      <c r="K335" s="2">
        <v>554.52296899999999</v>
      </c>
      <c r="L335" s="1">
        <v>35554.522969004604</v>
      </c>
    </row>
    <row r="336" spans="1:12" x14ac:dyDescent="0.35">
      <c r="A336" t="s">
        <v>359</v>
      </c>
      <c r="B336" t="s">
        <v>28</v>
      </c>
      <c r="C336" t="s">
        <v>13</v>
      </c>
      <c r="D336" t="s">
        <v>26</v>
      </c>
      <c r="E336" s="3">
        <v>553639</v>
      </c>
      <c r="F336">
        <v>52220</v>
      </c>
      <c r="G336">
        <v>70</v>
      </c>
      <c r="H336" s="1">
        <v>36526</v>
      </c>
      <c r="I336" s="1" t="s">
        <v>1102</v>
      </c>
      <c r="J336" t="s">
        <v>11</v>
      </c>
      <c r="K336" s="2">
        <v>336</v>
      </c>
      <c r="L336" s="1">
        <v>35336</v>
      </c>
    </row>
    <row r="337" spans="1:12" x14ac:dyDescent="0.35">
      <c r="A337" t="s">
        <v>360</v>
      </c>
      <c r="B337" t="s">
        <v>28</v>
      </c>
      <c r="C337" t="s">
        <v>19</v>
      </c>
      <c r="D337" t="s">
        <v>22</v>
      </c>
      <c r="E337" s="3">
        <v>284085</v>
      </c>
      <c r="F337">
        <v>0</v>
      </c>
      <c r="G337">
        <v>74</v>
      </c>
      <c r="H337" s="1">
        <v>0</v>
      </c>
      <c r="I337" s="1" t="s">
        <v>1102</v>
      </c>
      <c r="J337" t="s">
        <v>17</v>
      </c>
      <c r="K337" s="2">
        <v>402.44982299999998</v>
      </c>
      <c r="L337" s="1">
        <v>35402.449822997703</v>
      </c>
    </row>
    <row r="338" spans="1:12" x14ac:dyDescent="0.35">
      <c r="A338" t="s">
        <v>361</v>
      </c>
      <c r="B338" t="s">
        <v>1</v>
      </c>
      <c r="C338" t="s">
        <v>19</v>
      </c>
      <c r="D338" t="s">
        <v>26</v>
      </c>
      <c r="E338" s="3">
        <v>808288</v>
      </c>
      <c r="F338">
        <v>53554</v>
      </c>
      <c r="G338">
        <v>67</v>
      </c>
      <c r="H338" s="1">
        <v>0</v>
      </c>
      <c r="I338" s="1" t="s">
        <v>1102</v>
      </c>
      <c r="J338" t="s">
        <v>11</v>
      </c>
      <c r="K338" s="2">
        <v>327.02053899999999</v>
      </c>
      <c r="L338" s="1">
        <v>35327.020539004603</v>
      </c>
    </row>
    <row r="339" spans="1:12" x14ac:dyDescent="0.35">
      <c r="A339" t="s">
        <v>362</v>
      </c>
      <c r="B339" t="s">
        <v>1</v>
      </c>
      <c r="C339" t="s">
        <v>19</v>
      </c>
      <c r="D339" t="s">
        <v>14</v>
      </c>
      <c r="E339" s="3">
        <v>525473</v>
      </c>
      <c r="F339">
        <v>34476</v>
      </c>
      <c r="G339">
        <v>67</v>
      </c>
      <c r="H339" s="1">
        <v>36526</v>
      </c>
      <c r="I339" s="1" t="s">
        <v>1105</v>
      </c>
      <c r="J339" t="s">
        <v>11</v>
      </c>
      <c r="K339" s="2">
        <v>5.3952999999999998</v>
      </c>
      <c r="L339" s="1">
        <v>35005.395299999996</v>
      </c>
    </row>
    <row r="340" spans="1:12" x14ac:dyDescent="0.35">
      <c r="A340" t="s">
        <v>363</v>
      </c>
      <c r="B340" t="s">
        <v>28</v>
      </c>
      <c r="C340" t="s">
        <v>13</v>
      </c>
      <c r="D340" t="s">
        <v>14</v>
      </c>
      <c r="E340" s="3">
        <v>511624</v>
      </c>
      <c r="F340">
        <v>0</v>
      </c>
      <c r="G340">
        <v>70</v>
      </c>
      <c r="H340" s="1">
        <v>0</v>
      </c>
      <c r="I340" s="1" t="s">
        <v>1102</v>
      </c>
      <c r="J340" t="s">
        <v>11</v>
      </c>
      <c r="K340" s="2">
        <v>131.40129099999999</v>
      </c>
      <c r="L340" s="1">
        <v>35131.401290995404</v>
      </c>
    </row>
    <row r="341" spans="1:12" x14ac:dyDescent="0.35">
      <c r="A341" t="s">
        <v>364</v>
      </c>
      <c r="B341" t="s">
        <v>1</v>
      </c>
      <c r="C341" t="s">
        <v>19</v>
      </c>
      <c r="D341" t="s">
        <v>26</v>
      </c>
      <c r="E341" s="3">
        <v>303465</v>
      </c>
      <c r="F341">
        <v>68205</v>
      </c>
      <c r="G341">
        <v>76</v>
      </c>
      <c r="H341" s="1">
        <v>0</v>
      </c>
      <c r="I341" s="1" t="s">
        <v>1102</v>
      </c>
      <c r="J341" t="s">
        <v>17</v>
      </c>
      <c r="K341" s="2">
        <v>99.382942999999997</v>
      </c>
      <c r="L341" s="1">
        <v>35099.382942997698</v>
      </c>
    </row>
    <row r="342" spans="1:12" x14ac:dyDescent="0.35">
      <c r="A342" t="s">
        <v>365</v>
      </c>
      <c r="B342" t="s">
        <v>1</v>
      </c>
      <c r="C342" t="s">
        <v>13</v>
      </c>
      <c r="D342" t="s">
        <v>22</v>
      </c>
      <c r="E342" s="3">
        <v>802490</v>
      </c>
      <c r="F342">
        <v>0</v>
      </c>
      <c r="G342">
        <v>119</v>
      </c>
      <c r="H342" s="1">
        <v>36526</v>
      </c>
      <c r="I342" s="1" t="s">
        <v>1102</v>
      </c>
      <c r="J342" t="s">
        <v>20</v>
      </c>
      <c r="K342" s="2">
        <v>856.8</v>
      </c>
      <c r="L342" s="1">
        <v>35856.800000000003</v>
      </c>
    </row>
    <row r="343" spans="1:12" x14ac:dyDescent="0.35">
      <c r="A343" t="s">
        <v>366</v>
      </c>
      <c r="B343" t="s">
        <v>1</v>
      </c>
      <c r="C343" t="s">
        <v>19</v>
      </c>
      <c r="D343" t="s">
        <v>22</v>
      </c>
      <c r="E343" s="3">
        <v>1821114</v>
      </c>
      <c r="F343">
        <v>53690</v>
      </c>
      <c r="G343">
        <v>154</v>
      </c>
      <c r="H343" s="1">
        <v>0</v>
      </c>
      <c r="I343" s="1" t="s">
        <v>1102</v>
      </c>
      <c r="J343" t="s">
        <v>20</v>
      </c>
      <c r="K343" s="2">
        <v>739.2</v>
      </c>
      <c r="L343" s="1">
        <v>35739.199999999997</v>
      </c>
    </row>
    <row r="344" spans="1:12" x14ac:dyDescent="0.35">
      <c r="A344" t="s">
        <v>367</v>
      </c>
      <c r="B344" t="s">
        <v>24</v>
      </c>
      <c r="C344" t="s">
        <v>19</v>
      </c>
      <c r="D344" t="s">
        <v>22</v>
      </c>
      <c r="E344" s="3">
        <v>512156</v>
      </c>
      <c r="F344">
        <v>0</v>
      </c>
      <c r="G344">
        <v>72</v>
      </c>
      <c r="H344" s="1">
        <v>0</v>
      </c>
      <c r="I344" s="1" t="s">
        <v>1102</v>
      </c>
      <c r="J344" t="s">
        <v>11</v>
      </c>
      <c r="K344" s="2">
        <v>518.4</v>
      </c>
      <c r="L344" s="1">
        <v>35518.400000000001</v>
      </c>
    </row>
    <row r="345" spans="1:12" x14ac:dyDescent="0.35">
      <c r="A345" t="s">
        <v>368</v>
      </c>
      <c r="B345" t="s">
        <v>1</v>
      </c>
      <c r="C345" t="s">
        <v>13</v>
      </c>
      <c r="D345" t="s">
        <v>22</v>
      </c>
      <c r="E345" s="3">
        <v>215018</v>
      </c>
      <c r="F345">
        <v>0</v>
      </c>
      <c r="G345">
        <v>61</v>
      </c>
      <c r="H345" s="1">
        <v>0</v>
      </c>
      <c r="I345" s="1" t="s">
        <v>1102</v>
      </c>
      <c r="J345" t="s">
        <v>11</v>
      </c>
      <c r="K345" s="2">
        <v>292.8</v>
      </c>
      <c r="L345" s="1">
        <v>35292.800000000003</v>
      </c>
    </row>
    <row r="346" spans="1:12" x14ac:dyDescent="0.35">
      <c r="A346" t="s">
        <v>369</v>
      </c>
      <c r="B346" t="s">
        <v>1</v>
      </c>
      <c r="C346" t="s">
        <v>13</v>
      </c>
      <c r="D346" t="s">
        <v>22</v>
      </c>
      <c r="E346" s="3">
        <v>559539</v>
      </c>
      <c r="F346">
        <v>74454</v>
      </c>
      <c r="G346">
        <v>71</v>
      </c>
      <c r="H346" s="1">
        <v>0</v>
      </c>
      <c r="I346" s="1" t="s">
        <v>1102</v>
      </c>
      <c r="J346" t="s">
        <v>11</v>
      </c>
      <c r="K346" s="2">
        <v>340.8</v>
      </c>
      <c r="L346" s="1">
        <v>35340.800000000003</v>
      </c>
    </row>
    <row r="347" spans="1:12" x14ac:dyDescent="0.35">
      <c r="A347" t="s">
        <v>370</v>
      </c>
      <c r="B347" t="s">
        <v>16</v>
      </c>
      <c r="C347" t="s">
        <v>13</v>
      </c>
      <c r="D347" t="s">
        <v>14</v>
      </c>
      <c r="E347" s="3">
        <v>756282</v>
      </c>
      <c r="F347">
        <v>0</v>
      </c>
      <c r="G347">
        <v>73</v>
      </c>
      <c r="H347" s="1">
        <v>0</v>
      </c>
      <c r="I347" s="1" t="s">
        <v>1102</v>
      </c>
      <c r="J347" t="s">
        <v>11</v>
      </c>
      <c r="K347" s="2">
        <v>350.4</v>
      </c>
      <c r="L347" s="1">
        <v>35350.400000000001</v>
      </c>
    </row>
    <row r="348" spans="1:12" x14ac:dyDescent="0.35">
      <c r="A348" t="s">
        <v>371</v>
      </c>
      <c r="B348" t="s">
        <v>24</v>
      </c>
      <c r="C348" t="s">
        <v>19</v>
      </c>
      <c r="D348" t="s">
        <v>22</v>
      </c>
      <c r="E348" s="3">
        <v>538585</v>
      </c>
      <c r="F348">
        <v>29664</v>
      </c>
      <c r="G348">
        <v>71</v>
      </c>
      <c r="H348" s="1">
        <v>0</v>
      </c>
      <c r="I348" s="1" t="s">
        <v>1102</v>
      </c>
      <c r="J348" t="s">
        <v>11</v>
      </c>
      <c r="K348" s="2">
        <v>340.8</v>
      </c>
      <c r="L348" s="1">
        <v>35340.800000000003</v>
      </c>
    </row>
    <row r="349" spans="1:12" x14ac:dyDescent="0.35">
      <c r="A349" t="s">
        <v>372</v>
      </c>
      <c r="B349" t="s">
        <v>8</v>
      </c>
      <c r="C349" t="s">
        <v>13</v>
      </c>
      <c r="D349" t="s">
        <v>68</v>
      </c>
      <c r="E349" s="3">
        <v>267806</v>
      </c>
      <c r="F349">
        <v>72450</v>
      </c>
      <c r="G349">
        <v>66</v>
      </c>
      <c r="H349" s="1">
        <v>0</v>
      </c>
      <c r="I349" s="1" t="s">
        <v>1105</v>
      </c>
      <c r="J349" t="s">
        <v>11</v>
      </c>
      <c r="K349" s="2">
        <v>84.218362999999997</v>
      </c>
      <c r="L349" s="1">
        <v>35084.218362997701</v>
      </c>
    </row>
    <row r="350" spans="1:12" x14ac:dyDescent="0.35">
      <c r="A350" t="s">
        <v>373</v>
      </c>
      <c r="B350" t="s">
        <v>16</v>
      </c>
      <c r="C350" t="s">
        <v>13</v>
      </c>
      <c r="D350" t="s">
        <v>14</v>
      </c>
      <c r="E350" s="3">
        <v>942257</v>
      </c>
      <c r="F350">
        <v>47272</v>
      </c>
      <c r="G350">
        <v>79</v>
      </c>
      <c r="H350" s="1">
        <v>36586</v>
      </c>
      <c r="I350" s="1" t="s">
        <v>1102</v>
      </c>
      <c r="J350" t="s">
        <v>11</v>
      </c>
      <c r="K350" s="2">
        <v>64.546876999999995</v>
      </c>
      <c r="L350" s="1">
        <v>35064.5468770023</v>
      </c>
    </row>
    <row r="351" spans="1:12" x14ac:dyDescent="0.35">
      <c r="A351" t="s">
        <v>374</v>
      </c>
      <c r="B351" t="s">
        <v>24</v>
      </c>
      <c r="C351" t="s">
        <v>13</v>
      </c>
      <c r="D351" t="s">
        <v>26</v>
      </c>
      <c r="E351" s="3">
        <v>360586</v>
      </c>
      <c r="F351">
        <v>21585</v>
      </c>
      <c r="G351">
        <v>92</v>
      </c>
      <c r="H351" s="1">
        <v>0</v>
      </c>
      <c r="I351" s="1" t="s">
        <v>1105</v>
      </c>
      <c r="J351" t="s">
        <v>11</v>
      </c>
      <c r="K351" s="2">
        <v>441.6</v>
      </c>
      <c r="L351" s="1">
        <v>35441.599999999999</v>
      </c>
    </row>
    <row r="352" spans="1:12" x14ac:dyDescent="0.35">
      <c r="A352" t="s">
        <v>375</v>
      </c>
      <c r="B352" t="s">
        <v>1</v>
      </c>
      <c r="C352" t="s">
        <v>13</v>
      </c>
      <c r="D352" t="s">
        <v>26</v>
      </c>
      <c r="E352" s="3">
        <v>776259</v>
      </c>
      <c r="F352">
        <v>23827</v>
      </c>
      <c r="G352">
        <v>106</v>
      </c>
      <c r="H352" s="1">
        <v>36557</v>
      </c>
      <c r="I352" s="1" t="s">
        <v>1102</v>
      </c>
      <c r="J352" t="s">
        <v>11</v>
      </c>
      <c r="K352" s="2">
        <v>37.910623000000001</v>
      </c>
      <c r="L352" s="1">
        <v>35037.910622997697</v>
      </c>
    </row>
    <row r="353" spans="1:12" x14ac:dyDescent="0.35">
      <c r="A353" t="s">
        <v>376</v>
      </c>
      <c r="B353" t="s">
        <v>28</v>
      </c>
      <c r="C353" t="s">
        <v>13</v>
      </c>
      <c r="D353" t="s">
        <v>26</v>
      </c>
      <c r="E353" s="3">
        <v>2344490</v>
      </c>
      <c r="F353">
        <v>69906</v>
      </c>
      <c r="G353">
        <v>74</v>
      </c>
      <c r="H353" s="1">
        <v>36557</v>
      </c>
      <c r="I353" s="1" t="s">
        <v>1105</v>
      </c>
      <c r="J353" t="s">
        <v>11</v>
      </c>
      <c r="K353" s="2">
        <v>202.860399</v>
      </c>
      <c r="L353" s="1">
        <v>35202.860399004603</v>
      </c>
    </row>
    <row r="354" spans="1:12" x14ac:dyDescent="0.35">
      <c r="A354" t="s">
        <v>377</v>
      </c>
      <c r="B354" t="s">
        <v>1</v>
      </c>
      <c r="C354" t="s">
        <v>13</v>
      </c>
      <c r="D354" t="s">
        <v>22</v>
      </c>
      <c r="E354" s="3">
        <v>255818</v>
      </c>
      <c r="F354">
        <v>0</v>
      </c>
      <c r="G354">
        <v>72</v>
      </c>
      <c r="H354" s="1">
        <v>0</v>
      </c>
      <c r="I354" s="1" t="s">
        <v>1105</v>
      </c>
      <c r="J354" t="s">
        <v>11</v>
      </c>
      <c r="K354" s="2">
        <v>345.6</v>
      </c>
      <c r="L354" s="1">
        <v>35345.599999999999</v>
      </c>
    </row>
    <row r="355" spans="1:12" x14ac:dyDescent="0.35">
      <c r="A355" t="s">
        <v>378</v>
      </c>
      <c r="B355" t="s">
        <v>8</v>
      </c>
      <c r="C355" t="s">
        <v>19</v>
      </c>
      <c r="D355" t="s">
        <v>10</v>
      </c>
      <c r="E355" s="3">
        <v>265438</v>
      </c>
      <c r="F355">
        <v>73196</v>
      </c>
      <c r="G355">
        <v>66</v>
      </c>
      <c r="H355" s="1">
        <v>36526</v>
      </c>
      <c r="I355" s="1" t="s">
        <v>1102</v>
      </c>
      <c r="J355" t="s">
        <v>11</v>
      </c>
      <c r="K355" s="2">
        <v>85.809816999999995</v>
      </c>
      <c r="L355" s="1">
        <v>35085.8098170023</v>
      </c>
    </row>
    <row r="356" spans="1:12" x14ac:dyDescent="0.35">
      <c r="A356" t="s">
        <v>379</v>
      </c>
      <c r="B356" t="s">
        <v>8</v>
      </c>
      <c r="C356" t="s">
        <v>19</v>
      </c>
      <c r="D356" t="s">
        <v>14</v>
      </c>
      <c r="E356" s="3">
        <v>254979</v>
      </c>
      <c r="F356">
        <v>72217</v>
      </c>
      <c r="G356">
        <v>6464</v>
      </c>
      <c r="H356" s="1">
        <v>0</v>
      </c>
      <c r="I356" s="1" t="s">
        <v>1102</v>
      </c>
      <c r="J356" t="s">
        <v>11</v>
      </c>
      <c r="K356" s="2">
        <v>91.146660999999995</v>
      </c>
      <c r="L356" s="1">
        <v>35091.1466609954</v>
      </c>
    </row>
    <row r="357" spans="1:12" x14ac:dyDescent="0.35">
      <c r="A357" t="s">
        <v>380</v>
      </c>
      <c r="B357" t="s">
        <v>1</v>
      </c>
      <c r="C357" t="s">
        <v>19</v>
      </c>
      <c r="D357" t="s">
        <v>22</v>
      </c>
      <c r="E357" s="3">
        <v>296959</v>
      </c>
      <c r="F357">
        <v>46131</v>
      </c>
      <c r="G357">
        <v>74</v>
      </c>
      <c r="H357" s="1">
        <v>0</v>
      </c>
      <c r="I357" s="1" t="s">
        <v>1102</v>
      </c>
      <c r="J357" t="s">
        <v>17</v>
      </c>
      <c r="K357" s="2">
        <v>355.2</v>
      </c>
      <c r="L357" s="1">
        <v>35355.199999999997</v>
      </c>
    </row>
    <row r="358" spans="1:12" x14ac:dyDescent="0.35">
      <c r="A358" t="s">
        <v>381</v>
      </c>
      <c r="B358" t="s">
        <v>24</v>
      </c>
      <c r="C358" t="s">
        <v>13</v>
      </c>
      <c r="D358" t="s">
        <v>10</v>
      </c>
      <c r="E358" s="3">
        <v>436312</v>
      </c>
      <c r="F358">
        <v>54514</v>
      </c>
      <c r="G358">
        <v>109</v>
      </c>
      <c r="H358" s="1">
        <v>36586</v>
      </c>
      <c r="I358" s="1" t="s">
        <v>1102</v>
      </c>
      <c r="J358" t="s">
        <v>20</v>
      </c>
      <c r="K358" s="2">
        <v>286.23493100000002</v>
      </c>
      <c r="L358" s="1">
        <v>35286.234930995401</v>
      </c>
    </row>
    <row r="359" spans="1:12" x14ac:dyDescent="0.35">
      <c r="A359" t="s">
        <v>382</v>
      </c>
      <c r="B359" t="s">
        <v>1</v>
      </c>
      <c r="C359" t="s">
        <v>13</v>
      </c>
      <c r="D359" t="s">
        <v>22</v>
      </c>
      <c r="E359" s="3">
        <v>588431</v>
      </c>
      <c r="F359">
        <v>0</v>
      </c>
      <c r="G359">
        <v>161</v>
      </c>
      <c r="H359" s="1">
        <v>0</v>
      </c>
      <c r="I359" s="1" t="s">
        <v>1102</v>
      </c>
      <c r="J359" t="s">
        <v>20</v>
      </c>
      <c r="K359" s="2">
        <v>1159.2</v>
      </c>
      <c r="L359" s="1">
        <v>36159.199999999997</v>
      </c>
    </row>
    <row r="360" spans="1:12" x14ac:dyDescent="0.35">
      <c r="A360" t="s">
        <v>383</v>
      </c>
      <c r="B360" t="s">
        <v>16</v>
      </c>
      <c r="C360" t="s">
        <v>13</v>
      </c>
      <c r="D360" t="s">
        <v>26</v>
      </c>
      <c r="E360" s="3">
        <v>527219</v>
      </c>
      <c r="F360">
        <v>96668</v>
      </c>
      <c r="G360">
        <v>66</v>
      </c>
      <c r="H360" s="1">
        <v>0</v>
      </c>
      <c r="I360" s="1" t="s">
        <v>1102</v>
      </c>
      <c r="J360" t="s">
        <v>11</v>
      </c>
      <c r="K360" s="2">
        <v>316.8</v>
      </c>
      <c r="L360" s="1">
        <v>35316.800000000003</v>
      </c>
    </row>
    <row r="361" spans="1:12" x14ac:dyDescent="0.35">
      <c r="A361" t="s">
        <v>384</v>
      </c>
      <c r="B361" t="s">
        <v>1</v>
      </c>
      <c r="C361" t="s">
        <v>19</v>
      </c>
      <c r="D361" t="s">
        <v>68</v>
      </c>
      <c r="E361" s="3">
        <v>550990</v>
      </c>
      <c r="F361">
        <v>78879</v>
      </c>
      <c r="G361">
        <v>69</v>
      </c>
      <c r="H361" s="1">
        <v>36526</v>
      </c>
      <c r="I361" s="1" t="s">
        <v>1102</v>
      </c>
      <c r="J361" t="s">
        <v>11</v>
      </c>
      <c r="K361" s="2">
        <v>466.57079099999999</v>
      </c>
      <c r="L361" s="1">
        <v>35466.5707909954</v>
      </c>
    </row>
    <row r="362" spans="1:12" x14ac:dyDescent="0.35">
      <c r="A362" t="s">
        <v>385</v>
      </c>
      <c r="B362" t="s">
        <v>16</v>
      </c>
      <c r="C362" t="s">
        <v>19</v>
      </c>
      <c r="D362" t="s">
        <v>26</v>
      </c>
      <c r="E362" s="3">
        <v>1631368</v>
      </c>
      <c r="F362">
        <v>0</v>
      </c>
      <c r="G362">
        <v>69</v>
      </c>
      <c r="H362" s="1">
        <v>0</v>
      </c>
      <c r="I362" s="1" t="s">
        <v>1102</v>
      </c>
      <c r="J362" t="s">
        <v>11</v>
      </c>
      <c r="K362" s="2">
        <v>331.2</v>
      </c>
      <c r="L362" s="1">
        <v>35331.199999999997</v>
      </c>
    </row>
    <row r="363" spans="1:12" x14ac:dyDescent="0.35">
      <c r="A363" t="s">
        <v>386</v>
      </c>
      <c r="B363" t="s">
        <v>28</v>
      </c>
      <c r="C363" t="s">
        <v>13</v>
      </c>
      <c r="D363" t="s">
        <v>14</v>
      </c>
      <c r="E363" s="3">
        <v>567805</v>
      </c>
      <c r="F363">
        <v>0</v>
      </c>
      <c r="G363">
        <v>76</v>
      </c>
      <c r="H363" s="1">
        <v>0</v>
      </c>
      <c r="I363" s="1" t="s">
        <v>1102</v>
      </c>
      <c r="J363" t="s">
        <v>11</v>
      </c>
      <c r="K363" s="2">
        <v>364.8</v>
      </c>
      <c r="L363" s="1">
        <v>35364.800000000003</v>
      </c>
    </row>
    <row r="364" spans="1:12" x14ac:dyDescent="0.35">
      <c r="A364" t="s">
        <v>387</v>
      </c>
      <c r="B364" t="s">
        <v>1</v>
      </c>
      <c r="C364" t="s">
        <v>13</v>
      </c>
      <c r="D364" t="s">
        <v>14</v>
      </c>
      <c r="E364" s="3">
        <v>1210121</v>
      </c>
      <c r="F364">
        <v>0</v>
      </c>
      <c r="G364">
        <v>112</v>
      </c>
      <c r="H364" s="1">
        <v>0</v>
      </c>
      <c r="I364" s="1" t="s">
        <v>1102</v>
      </c>
      <c r="J364" t="s">
        <v>66</v>
      </c>
      <c r="K364" s="2">
        <v>1252.4062349999999</v>
      </c>
      <c r="L364" s="1">
        <v>36252.406235000002</v>
      </c>
    </row>
    <row r="365" spans="1:12" x14ac:dyDescent="0.35">
      <c r="A365" t="s">
        <v>388</v>
      </c>
      <c r="B365" t="s">
        <v>24</v>
      </c>
      <c r="C365" t="s">
        <v>19</v>
      </c>
      <c r="D365" t="s">
        <v>14</v>
      </c>
      <c r="E365" s="3">
        <v>245357</v>
      </c>
      <c r="F365">
        <v>29735</v>
      </c>
      <c r="G365">
        <v>69</v>
      </c>
      <c r="H365" s="1">
        <v>0</v>
      </c>
      <c r="I365" s="1" t="s">
        <v>1102</v>
      </c>
      <c r="J365" t="s">
        <v>11</v>
      </c>
      <c r="K365" s="2">
        <v>331.2</v>
      </c>
      <c r="L365" s="1">
        <v>35331.199999999997</v>
      </c>
    </row>
    <row r="366" spans="1:12" x14ac:dyDescent="0.35">
      <c r="A366" t="s">
        <v>389</v>
      </c>
      <c r="B366" t="s">
        <v>1</v>
      </c>
      <c r="C366" t="s">
        <v>19</v>
      </c>
      <c r="D366" t="s">
        <v>22</v>
      </c>
      <c r="E366" s="3">
        <v>507566</v>
      </c>
      <c r="F366">
        <v>23082</v>
      </c>
      <c r="G366">
        <v>65</v>
      </c>
      <c r="H366" s="1">
        <v>0</v>
      </c>
      <c r="I366" s="1" t="s">
        <v>1112</v>
      </c>
      <c r="J366" t="s">
        <v>11</v>
      </c>
      <c r="K366" s="2">
        <v>312</v>
      </c>
      <c r="L366" s="1">
        <v>35312</v>
      </c>
    </row>
    <row r="367" spans="1:12" x14ac:dyDescent="0.35">
      <c r="A367" t="s">
        <v>390</v>
      </c>
      <c r="B367" t="s">
        <v>28</v>
      </c>
      <c r="C367" t="s">
        <v>19</v>
      </c>
      <c r="D367" t="s">
        <v>14</v>
      </c>
      <c r="E367" s="3">
        <v>321498</v>
      </c>
      <c r="F367">
        <v>53984</v>
      </c>
      <c r="G367">
        <v>80</v>
      </c>
      <c r="H367" s="1">
        <v>0</v>
      </c>
      <c r="I367" s="1" t="s">
        <v>1105</v>
      </c>
      <c r="J367" t="s">
        <v>11</v>
      </c>
      <c r="K367" s="2">
        <v>421.48445600000002</v>
      </c>
      <c r="L367" s="1">
        <v>35421.4844559954</v>
      </c>
    </row>
    <row r="368" spans="1:12" x14ac:dyDescent="0.35">
      <c r="A368" t="s">
        <v>391</v>
      </c>
      <c r="B368" t="s">
        <v>1</v>
      </c>
      <c r="C368" t="s">
        <v>13</v>
      </c>
      <c r="D368" t="s">
        <v>26</v>
      </c>
      <c r="E368" s="3">
        <v>1227534</v>
      </c>
      <c r="F368">
        <v>52135</v>
      </c>
      <c r="G368">
        <v>156</v>
      </c>
      <c r="H368" s="1">
        <v>0</v>
      </c>
      <c r="I368" s="1" t="s">
        <v>1102</v>
      </c>
      <c r="J368" t="s">
        <v>20</v>
      </c>
      <c r="K368" s="2">
        <v>430.505942</v>
      </c>
      <c r="L368" s="1">
        <v>35430.505942002303</v>
      </c>
    </row>
    <row r="369" spans="1:12" x14ac:dyDescent="0.35">
      <c r="A369" t="s">
        <v>392</v>
      </c>
      <c r="B369" t="s">
        <v>1</v>
      </c>
      <c r="C369" t="s">
        <v>13</v>
      </c>
      <c r="D369" t="s">
        <v>26</v>
      </c>
      <c r="E369" s="3">
        <v>272221</v>
      </c>
      <c r="F369">
        <v>17576</v>
      </c>
      <c r="G369">
        <v>71</v>
      </c>
      <c r="H369" s="1">
        <v>0</v>
      </c>
      <c r="I369" s="1" t="s">
        <v>1105</v>
      </c>
      <c r="J369" t="s">
        <v>11</v>
      </c>
      <c r="K369" s="2">
        <v>398.502948</v>
      </c>
      <c r="L369" s="1">
        <v>35398.502947997702</v>
      </c>
    </row>
    <row r="370" spans="1:12" x14ac:dyDescent="0.35">
      <c r="A370" t="s">
        <v>393</v>
      </c>
      <c r="B370" t="s">
        <v>24</v>
      </c>
      <c r="C370" t="s">
        <v>13</v>
      </c>
      <c r="D370" t="s">
        <v>14</v>
      </c>
      <c r="E370" s="3">
        <v>245744</v>
      </c>
      <c r="F370">
        <v>29486</v>
      </c>
      <c r="G370">
        <v>62</v>
      </c>
      <c r="H370" s="1">
        <v>0</v>
      </c>
      <c r="I370" s="1" t="s">
        <v>1102</v>
      </c>
      <c r="J370" t="s">
        <v>11</v>
      </c>
      <c r="K370" s="2">
        <v>7.646763</v>
      </c>
      <c r="L370" s="1">
        <v>35007.646762997698</v>
      </c>
    </row>
    <row r="371" spans="1:12" x14ac:dyDescent="0.35">
      <c r="A371" t="s">
        <v>394</v>
      </c>
      <c r="B371" t="s">
        <v>24</v>
      </c>
      <c r="C371" t="s">
        <v>13</v>
      </c>
      <c r="D371" t="s">
        <v>10</v>
      </c>
      <c r="E371" s="3">
        <v>355485</v>
      </c>
      <c r="F371">
        <v>58557</v>
      </c>
      <c r="G371">
        <v>88</v>
      </c>
      <c r="H371" s="1">
        <v>0</v>
      </c>
      <c r="I371" s="1" t="s">
        <v>1105</v>
      </c>
      <c r="J371" t="s">
        <v>11</v>
      </c>
      <c r="K371" s="2">
        <v>55.510525999999999</v>
      </c>
      <c r="L371" s="1">
        <v>35055.5105259954</v>
      </c>
    </row>
    <row r="372" spans="1:12" x14ac:dyDescent="0.35">
      <c r="A372" t="s">
        <v>395</v>
      </c>
      <c r="B372" t="s">
        <v>1</v>
      </c>
      <c r="C372" t="s">
        <v>19</v>
      </c>
      <c r="D372" t="s">
        <v>14</v>
      </c>
      <c r="E372" s="3">
        <v>492955</v>
      </c>
      <c r="F372">
        <v>25632</v>
      </c>
      <c r="G372">
        <v>63</v>
      </c>
      <c r="H372" s="1">
        <v>0</v>
      </c>
      <c r="I372" s="1" t="s">
        <v>1102</v>
      </c>
      <c r="J372" t="s">
        <v>17</v>
      </c>
      <c r="K372" s="2">
        <v>351.270869</v>
      </c>
      <c r="L372" s="1">
        <v>35351.270869004598</v>
      </c>
    </row>
    <row r="373" spans="1:12" x14ac:dyDescent="0.35">
      <c r="A373" t="s">
        <v>396</v>
      </c>
      <c r="B373" t="s">
        <v>1</v>
      </c>
      <c r="C373" t="s">
        <v>13</v>
      </c>
      <c r="D373" t="s">
        <v>22</v>
      </c>
      <c r="E373" s="3">
        <v>803645</v>
      </c>
      <c r="F373">
        <v>0</v>
      </c>
      <c r="G373">
        <v>112</v>
      </c>
      <c r="H373" s="1">
        <v>0</v>
      </c>
      <c r="I373" s="1" t="s">
        <v>1102</v>
      </c>
      <c r="J373" t="s">
        <v>66</v>
      </c>
      <c r="K373" s="2">
        <v>806.4</v>
      </c>
      <c r="L373" s="1">
        <v>35806.400000000001</v>
      </c>
    </row>
    <row r="374" spans="1:12" x14ac:dyDescent="0.35">
      <c r="A374" t="s">
        <v>397</v>
      </c>
      <c r="B374" t="s">
        <v>28</v>
      </c>
      <c r="C374" t="s">
        <v>19</v>
      </c>
      <c r="D374" t="s">
        <v>14</v>
      </c>
      <c r="E374" s="3">
        <v>427692</v>
      </c>
      <c r="F374">
        <v>18768</v>
      </c>
      <c r="G374">
        <v>68</v>
      </c>
      <c r="H374" s="1">
        <v>36586</v>
      </c>
      <c r="I374" s="1" t="s">
        <v>1105</v>
      </c>
      <c r="J374" t="s">
        <v>11</v>
      </c>
      <c r="K374" s="2">
        <v>647.45458299999996</v>
      </c>
      <c r="L374" s="1">
        <v>35647.4545829977</v>
      </c>
    </row>
    <row r="375" spans="1:12" x14ac:dyDescent="0.35">
      <c r="A375" t="s">
        <v>398</v>
      </c>
      <c r="B375" t="s">
        <v>1</v>
      </c>
      <c r="C375" t="s">
        <v>13</v>
      </c>
      <c r="D375" t="s">
        <v>14</v>
      </c>
      <c r="E375" s="3">
        <v>3347335</v>
      </c>
      <c r="F375">
        <v>33190</v>
      </c>
      <c r="G375">
        <v>106</v>
      </c>
      <c r="H375" s="1">
        <v>0</v>
      </c>
      <c r="I375" s="1" t="s">
        <v>1102</v>
      </c>
      <c r="J375" t="s">
        <v>20</v>
      </c>
      <c r="K375" s="2">
        <v>508.8</v>
      </c>
      <c r="L375" s="1">
        <v>35508.800000000003</v>
      </c>
    </row>
    <row r="376" spans="1:12" x14ac:dyDescent="0.35">
      <c r="A376" t="s">
        <v>399</v>
      </c>
      <c r="B376" t="s">
        <v>24</v>
      </c>
      <c r="C376" t="s">
        <v>13</v>
      </c>
      <c r="D376" t="s">
        <v>10</v>
      </c>
      <c r="E376" s="3">
        <v>596058</v>
      </c>
      <c r="F376">
        <v>47945</v>
      </c>
      <c r="G376">
        <v>74</v>
      </c>
      <c r="H376" s="1">
        <v>0</v>
      </c>
      <c r="I376" s="1" t="s">
        <v>1102</v>
      </c>
      <c r="J376" t="s">
        <v>17</v>
      </c>
      <c r="K376" s="2">
        <v>128.43823</v>
      </c>
      <c r="L376" s="1">
        <v>35128.43823</v>
      </c>
    </row>
    <row r="377" spans="1:12" x14ac:dyDescent="0.35">
      <c r="A377" t="s">
        <v>400</v>
      </c>
      <c r="B377" t="s">
        <v>28</v>
      </c>
      <c r="C377" t="s">
        <v>19</v>
      </c>
      <c r="D377" t="s">
        <v>26</v>
      </c>
      <c r="E377" s="3">
        <v>4479547</v>
      </c>
      <c r="F377">
        <v>58778</v>
      </c>
      <c r="G377">
        <v>126</v>
      </c>
      <c r="H377" s="1">
        <v>0</v>
      </c>
      <c r="I377" s="1" t="s">
        <v>1112</v>
      </c>
      <c r="J377" t="s">
        <v>20</v>
      </c>
      <c r="K377" s="2">
        <v>302.03397100000001</v>
      </c>
      <c r="L377" s="1">
        <v>35302.033970995399</v>
      </c>
    </row>
    <row r="378" spans="1:12" x14ac:dyDescent="0.35">
      <c r="A378" t="s">
        <v>401</v>
      </c>
      <c r="B378" t="s">
        <v>1</v>
      </c>
      <c r="C378" t="s">
        <v>13</v>
      </c>
      <c r="D378" t="s">
        <v>22</v>
      </c>
      <c r="E378" s="3">
        <v>383212</v>
      </c>
      <c r="F378">
        <v>15192</v>
      </c>
      <c r="G378">
        <v>100</v>
      </c>
      <c r="H378" s="1">
        <v>0</v>
      </c>
      <c r="I378" s="1" t="s">
        <v>1102</v>
      </c>
      <c r="J378" t="s">
        <v>20</v>
      </c>
      <c r="K378" s="2">
        <v>480</v>
      </c>
      <c r="L378" s="1">
        <v>35480</v>
      </c>
    </row>
    <row r="379" spans="1:12" x14ac:dyDescent="0.35">
      <c r="A379" t="s">
        <v>402</v>
      </c>
      <c r="B379" t="s">
        <v>1</v>
      </c>
      <c r="C379" t="s">
        <v>13</v>
      </c>
      <c r="D379" t="s">
        <v>14</v>
      </c>
      <c r="E379" s="3">
        <v>683793</v>
      </c>
      <c r="F379">
        <v>51859</v>
      </c>
      <c r="G379">
        <v>171</v>
      </c>
      <c r="H379" s="1">
        <v>0</v>
      </c>
      <c r="I379" s="1" t="s">
        <v>1102</v>
      </c>
      <c r="J379" t="s">
        <v>20</v>
      </c>
      <c r="K379" s="2">
        <v>1003.160633</v>
      </c>
      <c r="L379" s="1">
        <v>36003.1606329977</v>
      </c>
    </row>
    <row r="380" spans="1:12" x14ac:dyDescent="0.35">
      <c r="A380" t="s">
        <v>403</v>
      </c>
      <c r="B380" t="s">
        <v>16</v>
      </c>
      <c r="C380" t="s">
        <v>13</v>
      </c>
      <c r="D380" t="s">
        <v>22</v>
      </c>
      <c r="E380" s="3">
        <v>528527</v>
      </c>
      <c r="F380">
        <v>23422</v>
      </c>
      <c r="G380">
        <v>72</v>
      </c>
      <c r="H380" s="1">
        <v>0</v>
      </c>
      <c r="I380" s="1" t="s">
        <v>1102</v>
      </c>
      <c r="J380" t="s">
        <v>17</v>
      </c>
      <c r="K380" s="2">
        <v>518.4</v>
      </c>
      <c r="L380" s="1">
        <v>35518.400000000001</v>
      </c>
    </row>
    <row r="381" spans="1:12" x14ac:dyDescent="0.35">
      <c r="A381" t="s">
        <v>404</v>
      </c>
      <c r="B381" t="s">
        <v>1</v>
      </c>
      <c r="C381" t="s">
        <v>13</v>
      </c>
      <c r="D381" t="s">
        <v>26</v>
      </c>
      <c r="E381" s="3">
        <v>309651</v>
      </c>
      <c r="F381">
        <v>21604</v>
      </c>
      <c r="G381">
        <v>79</v>
      </c>
      <c r="H381" s="1">
        <v>0</v>
      </c>
      <c r="I381" s="1" t="s">
        <v>1105</v>
      </c>
      <c r="J381" t="s">
        <v>11</v>
      </c>
      <c r="K381" s="2">
        <v>379.2</v>
      </c>
      <c r="L381" s="1">
        <v>35379.199999999997</v>
      </c>
    </row>
    <row r="382" spans="1:12" x14ac:dyDescent="0.35">
      <c r="A382" t="s">
        <v>405</v>
      </c>
      <c r="B382" t="s">
        <v>28</v>
      </c>
      <c r="C382" t="s">
        <v>19</v>
      </c>
      <c r="D382" t="s">
        <v>26</v>
      </c>
      <c r="E382" s="3">
        <v>358971</v>
      </c>
      <c r="F382">
        <v>79298</v>
      </c>
      <c r="G382">
        <v>90</v>
      </c>
      <c r="H382" s="1">
        <v>0</v>
      </c>
      <c r="I382" s="1" t="s">
        <v>1102</v>
      </c>
      <c r="J382" t="s">
        <v>11</v>
      </c>
      <c r="K382" s="2">
        <v>244.36207200000001</v>
      </c>
      <c r="L382" s="1">
        <v>35244.362072002303</v>
      </c>
    </row>
    <row r="383" spans="1:12" x14ac:dyDescent="0.35">
      <c r="A383" t="s">
        <v>406</v>
      </c>
      <c r="B383" t="s">
        <v>28</v>
      </c>
      <c r="C383" t="s">
        <v>13</v>
      </c>
      <c r="D383" t="s">
        <v>14</v>
      </c>
      <c r="E383" s="3">
        <v>258241</v>
      </c>
      <c r="F383">
        <v>76731</v>
      </c>
      <c r="G383">
        <v>64</v>
      </c>
      <c r="H383" s="1">
        <v>0</v>
      </c>
      <c r="I383" s="1" t="s">
        <v>1112</v>
      </c>
      <c r="J383" t="s">
        <v>11</v>
      </c>
      <c r="K383" s="2">
        <v>201.455005</v>
      </c>
      <c r="L383" s="1">
        <v>35201.455005000003</v>
      </c>
    </row>
    <row r="384" spans="1:12" x14ac:dyDescent="0.35">
      <c r="A384" t="s">
        <v>407</v>
      </c>
      <c r="B384" t="s">
        <v>8</v>
      </c>
      <c r="C384" t="s">
        <v>19</v>
      </c>
      <c r="D384" t="s">
        <v>26</v>
      </c>
      <c r="E384" s="3">
        <v>340392</v>
      </c>
      <c r="F384">
        <v>38460</v>
      </c>
      <c r="G384">
        <v>88</v>
      </c>
      <c r="H384" s="1">
        <v>36526</v>
      </c>
      <c r="I384" s="1" t="s">
        <v>1102</v>
      </c>
      <c r="J384" t="s">
        <v>11</v>
      </c>
      <c r="K384" s="2">
        <v>91.550979999999996</v>
      </c>
      <c r="L384" s="1">
        <v>35091.55098</v>
      </c>
    </row>
    <row r="385" spans="1:12" x14ac:dyDescent="0.35">
      <c r="A385" t="s">
        <v>408</v>
      </c>
      <c r="B385" t="s">
        <v>28</v>
      </c>
      <c r="C385" t="s">
        <v>13</v>
      </c>
      <c r="D385" t="s">
        <v>26</v>
      </c>
      <c r="E385" s="3">
        <v>1357568</v>
      </c>
      <c r="F385">
        <v>48534</v>
      </c>
      <c r="G385">
        <v>115</v>
      </c>
      <c r="H385" s="1">
        <v>36526</v>
      </c>
      <c r="I385" s="1" t="s">
        <v>1102</v>
      </c>
      <c r="J385" t="s">
        <v>20</v>
      </c>
      <c r="K385" s="2">
        <v>552</v>
      </c>
      <c r="L385" s="1">
        <v>35552</v>
      </c>
    </row>
    <row r="386" spans="1:12" x14ac:dyDescent="0.35">
      <c r="A386" t="s">
        <v>409</v>
      </c>
      <c r="B386" t="s">
        <v>8</v>
      </c>
      <c r="C386" t="s">
        <v>19</v>
      </c>
      <c r="D386" t="s">
        <v>68</v>
      </c>
      <c r="E386" s="3">
        <v>343613</v>
      </c>
      <c r="F386">
        <v>30817</v>
      </c>
      <c r="G386">
        <v>88</v>
      </c>
      <c r="H386" s="1">
        <v>0</v>
      </c>
      <c r="I386" s="1" t="s">
        <v>1105</v>
      </c>
      <c r="J386" t="s">
        <v>11</v>
      </c>
      <c r="K386" s="2">
        <v>91.834667999999994</v>
      </c>
      <c r="L386" s="1">
        <v>35091.834667997697</v>
      </c>
    </row>
    <row r="387" spans="1:12" x14ac:dyDescent="0.35">
      <c r="A387" t="s">
        <v>410</v>
      </c>
      <c r="B387" t="s">
        <v>24</v>
      </c>
      <c r="C387" t="s">
        <v>13</v>
      </c>
      <c r="D387" t="s">
        <v>26</v>
      </c>
      <c r="E387" s="3">
        <v>2868583</v>
      </c>
      <c r="F387">
        <v>48412</v>
      </c>
      <c r="G387">
        <v>104</v>
      </c>
      <c r="H387" s="1">
        <v>0</v>
      </c>
      <c r="I387" s="1" t="s">
        <v>1102</v>
      </c>
      <c r="J387" t="s">
        <v>20</v>
      </c>
      <c r="K387" s="2">
        <v>707.43083200000001</v>
      </c>
      <c r="L387" s="1">
        <v>35707.430832002297</v>
      </c>
    </row>
    <row r="388" spans="1:12" x14ac:dyDescent="0.35">
      <c r="A388" t="s">
        <v>411</v>
      </c>
      <c r="B388" t="s">
        <v>8</v>
      </c>
      <c r="C388" t="s">
        <v>19</v>
      </c>
      <c r="D388" t="s">
        <v>14</v>
      </c>
      <c r="E388" s="3">
        <v>450268</v>
      </c>
      <c r="F388">
        <v>68798</v>
      </c>
      <c r="G388">
        <v>114</v>
      </c>
      <c r="H388" s="1">
        <v>0</v>
      </c>
      <c r="I388" s="1" t="s">
        <v>1102</v>
      </c>
      <c r="J388" t="s">
        <v>20</v>
      </c>
      <c r="K388" s="2">
        <v>92.915250999999998</v>
      </c>
      <c r="L388" s="1">
        <v>35092.9152509954</v>
      </c>
    </row>
    <row r="389" spans="1:12" x14ac:dyDescent="0.35">
      <c r="A389" t="s">
        <v>412</v>
      </c>
      <c r="B389" t="s">
        <v>24</v>
      </c>
      <c r="C389" t="s">
        <v>19</v>
      </c>
      <c r="D389" t="s">
        <v>14</v>
      </c>
      <c r="E389" s="3">
        <v>618311</v>
      </c>
      <c r="F389">
        <v>23712</v>
      </c>
      <c r="G389">
        <v>85</v>
      </c>
      <c r="H389" s="1">
        <v>0</v>
      </c>
      <c r="I389" s="1" t="s">
        <v>1102</v>
      </c>
      <c r="J389" t="s">
        <v>11</v>
      </c>
      <c r="K389" s="2">
        <v>376.126419</v>
      </c>
      <c r="L389" s="1">
        <v>35376.126419004599</v>
      </c>
    </row>
    <row r="390" spans="1:12" x14ac:dyDescent="0.35">
      <c r="A390" t="s">
        <v>413</v>
      </c>
      <c r="B390" t="s">
        <v>1</v>
      </c>
      <c r="C390" t="s">
        <v>19</v>
      </c>
      <c r="D390" t="s">
        <v>26</v>
      </c>
      <c r="E390" s="3">
        <v>387365</v>
      </c>
      <c r="F390">
        <v>28142</v>
      </c>
      <c r="G390">
        <v>105</v>
      </c>
      <c r="H390" s="1">
        <v>0</v>
      </c>
      <c r="I390" s="1" t="s">
        <v>1102</v>
      </c>
      <c r="J390" t="s">
        <v>66</v>
      </c>
      <c r="K390" s="2">
        <v>701.70823900000005</v>
      </c>
      <c r="L390" s="1">
        <v>35701.708239004598</v>
      </c>
    </row>
    <row r="391" spans="1:12" x14ac:dyDescent="0.35">
      <c r="A391" t="s">
        <v>414</v>
      </c>
      <c r="B391" t="s">
        <v>1</v>
      </c>
      <c r="C391" t="s">
        <v>13</v>
      </c>
      <c r="D391" t="s">
        <v>10</v>
      </c>
      <c r="E391" s="3">
        <v>1892933</v>
      </c>
      <c r="F391">
        <v>72196</v>
      </c>
      <c r="G391">
        <v>68</v>
      </c>
      <c r="H391" s="1">
        <v>0</v>
      </c>
      <c r="I391" s="1" t="s">
        <v>1102</v>
      </c>
      <c r="J391" t="s">
        <v>11</v>
      </c>
      <c r="K391" s="2">
        <v>152.18424400000001</v>
      </c>
      <c r="L391" s="1">
        <v>35152.184244004602</v>
      </c>
    </row>
    <row r="392" spans="1:12" x14ac:dyDescent="0.35">
      <c r="A392" t="s">
        <v>415</v>
      </c>
      <c r="B392" t="s">
        <v>1</v>
      </c>
      <c r="C392" t="s">
        <v>19</v>
      </c>
      <c r="D392" t="s">
        <v>10</v>
      </c>
      <c r="E392" s="3">
        <v>555330</v>
      </c>
      <c r="F392">
        <v>68197</v>
      </c>
      <c r="G392">
        <v>69</v>
      </c>
      <c r="H392" s="1">
        <v>0</v>
      </c>
      <c r="I392" s="1" t="s">
        <v>1102</v>
      </c>
      <c r="J392" t="s">
        <v>11</v>
      </c>
      <c r="K392" s="2">
        <v>176.81941399999999</v>
      </c>
      <c r="L392" s="1">
        <v>35176.819414004603</v>
      </c>
    </row>
    <row r="393" spans="1:12" x14ac:dyDescent="0.35">
      <c r="A393" t="s">
        <v>416</v>
      </c>
      <c r="B393" t="s">
        <v>1</v>
      </c>
      <c r="C393" t="s">
        <v>19</v>
      </c>
      <c r="D393" t="s">
        <v>14</v>
      </c>
      <c r="E393" s="3">
        <v>501126</v>
      </c>
      <c r="F393">
        <v>75248</v>
      </c>
      <c r="G393">
        <v>63</v>
      </c>
      <c r="H393" s="1">
        <v>0</v>
      </c>
      <c r="I393" s="1" t="s">
        <v>1105</v>
      </c>
      <c r="J393" t="s">
        <v>11</v>
      </c>
      <c r="K393" s="2">
        <v>104.454624</v>
      </c>
      <c r="L393" s="1">
        <v>35104.454624004597</v>
      </c>
    </row>
    <row r="394" spans="1:12" x14ac:dyDescent="0.35">
      <c r="A394" t="s">
        <v>417</v>
      </c>
      <c r="B394" t="s">
        <v>1</v>
      </c>
      <c r="C394" t="s">
        <v>13</v>
      </c>
      <c r="D394" t="s">
        <v>26</v>
      </c>
      <c r="E394" s="3">
        <v>1044245</v>
      </c>
      <c r="F394">
        <v>0</v>
      </c>
      <c r="G394">
        <v>98</v>
      </c>
      <c r="H394" s="1">
        <v>0</v>
      </c>
      <c r="I394" s="1" t="s">
        <v>1102</v>
      </c>
      <c r="J394" t="s">
        <v>11</v>
      </c>
      <c r="K394" s="2">
        <v>941.71805400000005</v>
      </c>
      <c r="L394" s="1">
        <v>35941.718054004603</v>
      </c>
    </row>
    <row r="395" spans="1:12" x14ac:dyDescent="0.35">
      <c r="A395" t="s">
        <v>418</v>
      </c>
      <c r="B395" t="s">
        <v>16</v>
      </c>
      <c r="C395" t="s">
        <v>19</v>
      </c>
      <c r="D395" t="s">
        <v>14</v>
      </c>
      <c r="E395" s="3">
        <v>219962</v>
      </c>
      <c r="F395">
        <v>0</v>
      </c>
      <c r="G395">
        <v>65</v>
      </c>
      <c r="H395" s="1">
        <v>36526</v>
      </c>
      <c r="I395" s="1" t="s">
        <v>1102</v>
      </c>
      <c r="J395" t="s">
        <v>17</v>
      </c>
      <c r="K395" s="2">
        <v>468</v>
      </c>
      <c r="L395" s="1">
        <v>35468</v>
      </c>
    </row>
    <row r="396" spans="1:12" x14ac:dyDescent="0.35">
      <c r="A396" t="s">
        <v>419</v>
      </c>
      <c r="B396" t="s">
        <v>8</v>
      </c>
      <c r="C396" t="s">
        <v>13</v>
      </c>
      <c r="D396" t="s">
        <v>10</v>
      </c>
      <c r="E396" s="3">
        <v>512317</v>
      </c>
      <c r="F396">
        <v>89879</v>
      </c>
      <c r="G396">
        <v>63</v>
      </c>
      <c r="H396" s="1">
        <v>0</v>
      </c>
      <c r="I396" s="1" t="s">
        <v>1102</v>
      </c>
      <c r="J396" t="s">
        <v>17</v>
      </c>
      <c r="K396" s="2">
        <v>94.030308000000005</v>
      </c>
      <c r="L396" s="1">
        <v>35094.030307997702</v>
      </c>
    </row>
    <row r="397" spans="1:12" x14ac:dyDescent="0.35">
      <c r="A397" t="s">
        <v>420</v>
      </c>
      <c r="B397" t="s">
        <v>24</v>
      </c>
      <c r="C397" t="s">
        <v>19</v>
      </c>
      <c r="D397" t="s">
        <v>22</v>
      </c>
      <c r="E397" s="3">
        <v>748431</v>
      </c>
      <c r="F397">
        <v>46998</v>
      </c>
      <c r="G397">
        <v>96</v>
      </c>
      <c r="H397" s="1">
        <v>0</v>
      </c>
      <c r="I397" s="1" t="s">
        <v>1105</v>
      </c>
      <c r="J397" t="s">
        <v>11</v>
      </c>
      <c r="K397" s="2">
        <v>460.8</v>
      </c>
      <c r="L397" s="1">
        <v>35460.800000000003</v>
      </c>
    </row>
    <row r="398" spans="1:12" x14ac:dyDescent="0.35">
      <c r="A398" t="s">
        <v>421</v>
      </c>
      <c r="B398" t="s">
        <v>24</v>
      </c>
      <c r="C398" t="s">
        <v>19</v>
      </c>
      <c r="D398" t="s">
        <v>14</v>
      </c>
      <c r="E398" s="3">
        <v>261302</v>
      </c>
      <c r="F398">
        <v>57099</v>
      </c>
      <c r="G398">
        <v>67</v>
      </c>
      <c r="H398" s="1">
        <v>0</v>
      </c>
      <c r="I398" s="1" t="s">
        <v>1102</v>
      </c>
      <c r="J398" t="s">
        <v>17</v>
      </c>
      <c r="K398" s="2">
        <v>67.859881000000001</v>
      </c>
      <c r="L398" s="1">
        <v>35067.859880995398</v>
      </c>
    </row>
    <row r="399" spans="1:12" x14ac:dyDescent="0.35">
      <c r="A399" t="s">
        <v>422</v>
      </c>
      <c r="B399" t="s">
        <v>28</v>
      </c>
      <c r="C399" t="s">
        <v>13</v>
      </c>
      <c r="D399" t="s">
        <v>14</v>
      </c>
      <c r="E399" s="3">
        <v>908064</v>
      </c>
      <c r="F399">
        <v>33897</v>
      </c>
      <c r="G399">
        <v>114</v>
      </c>
      <c r="H399" s="1">
        <v>0</v>
      </c>
      <c r="I399" s="1" t="s">
        <v>1105</v>
      </c>
      <c r="J399" t="s">
        <v>20</v>
      </c>
      <c r="K399" s="2">
        <v>539.84300299999995</v>
      </c>
      <c r="L399" s="1">
        <v>35539.843002997703</v>
      </c>
    </row>
    <row r="400" spans="1:12" x14ac:dyDescent="0.35">
      <c r="A400" t="s">
        <v>423</v>
      </c>
      <c r="B400" t="s">
        <v>16</v>
      </c>
      <c r="C400" t="s">
        <v>13</v>
      </c>
      <c r="D400" t="s">
        <v>22</v>
      </c>
      <c r="E400" s="3">
        <v>1377098</v>
      </c>
      <c r="F400">
        <v>59207</v>
      </c>
      <c r="G400">
        <v>116</v>
      </c>
      <c r="H400" s="1">
        <v>0</v>
      </c>
      <c r="I400" s="1" t="s">
        <v>1102</v>
      </c>
      <c r="J400" t="s">
        <v>11</v>
      </c>
      <c r="K400" s="2">
        <v>556.79999999999995</v>
      </c>
      <c r="L400" s="1">
        <v>35556.800000000003</v>
      </c>
    </row>
    <row r="401" spans="1:12" x14ac:dyDescent="0.35">
      <c r="A401" t="s">
        <v>424</v>
      </c>
      <c r="B401" t="s">
        <v>24</v>
      </c>
      <c r="C401" t="s">
        <v>19</v>
      </c>
      <c r="D401" t="s">
        <v>22</v>
      </c>
      <c r="E401" s="3">
        <v>287682</v>
      </c>
      <c r="F401">
        <v>40171</v>
      </c>
      <c r="G401">
        <v>73</v>
      </c>
      <c r="H401" s="1">
        <v>0</v>
      </c>
      <c r="I401" s="1" t="s">
        <v>1102</v>
      </c>
      <c r="J401" t="s">
        <v>11</v>
      </c>
      <c r="K401" s="2">
        <v>350.4</v>
      </c>
      <c r="L401" s="1">
        <v>35350.400000000001</v>
      </c>
    </row>
    <row r="402" spans="1:12" x14ac:dyDescent="0.35">
      <c r="A402" t="s">
        <v>425</v>
      </c>
      <c r="B402" t="s">
        <v>8</v>
      </c>
      <c r="C402" t="s">
        <v>19</v>
      </c>
      <c r="D402" t="s">
        <v>68</v>
      </c>
      <c r="E402" s="3">
        <v>540891</v>
      </c>
      <c r="F402">
        <v>80192</v>
      </c>
      <c r="G402">
        <v>67</v>
      </c>
      <c r="H402" s="1">
        <v>0</v>
      </c>
      <c r="I402" s="1" t="s">
        <v>1102</v>
      </c>
      <c r="J402" t="s">
        <v>11</v>
      </c>
      <c r="K402" s="2">
        <v>95.193156999999999</v>
      </c>
      <c r="L402" s="1">
        <v>35095.193157002301</v>
      </c>
    </row>
    <row r="403" spans="1:12" x14ac:dyDescent="0.35">
      <c r="A403" t="s">
        <v>426</v>
      </c>
      <c r="B403" t="s">
        <v>8</v>
      </c>
      <c r="C403" t="s">
        <v>19</v>
      </c>
      <c r="D403" t="s">
        <v>22</v>
      </c>
      <c r="E403" s="3">
        <v>677031</v>
      </c>
      <c r="F403">
        <v>74422</v>
      </c>
      <c r="G403">
        <v>85</v>
      </c>
      <c r="H403" s="1">
        <v>36526</v>
      </c>
      <c r="I403" s="1" t="s">
        <v>1102</v>
      </c>
      <c r="J403" t="s">
        <v>11</v>
      </c>
      <c r="K403" s="2">
        <v>95.338504999999998</v>
      </c>
      <c r="L403" s="1">
        <v>35095.338505</v>
      </c>
    </row>
    <row r="404" spans="1:12" x14ac:dyDescent="0.35">
      <c r="A404" t="s">
        <v>427</v>
      </c>
      <c r="B404" t="s">
        <v>24</v>
      </c>
      <c r="C404" t="s">
        <v>19</v>
      </c>
      <c r="D404" t="s">
        <v>26</v>
      </c>
      <c r="E404" s="3">
        <v>2414388</v>
      </c>
      <c r="F404">
        <v>0</v>
      </c>
      <c r="G404">
        <v>87</v>
      </c>
      <c r="H404" s="1">
        <v>0</v>
      </c>
      <c r="I404" s="1" t="s">
        <v>1112</v>
      </c>
      <c r="J404" t="s">
        <v>11</v>
      </c>
      <c r="K404" s="2">
        <v>626.4</v>
      </c>
      <c r="L404" s="1">
        <v>35626.400000000001</v>
      </c>
    </row>
    <row r="405" spans="1:12" x14ac:dyDescent="0.35">
      <c r="A405" t="s">
        <v>428</v>
      </c>
      <c r="B405" t="s">
        <v>28</v>
      </c>
      <c r="C405" t="s">
        <v>13</v>
      </c>
      <c r="D405" t="s">
        <v>26</v>
      </c>
      <c r="E405" s="3">
        <v>353806</v>
      </c>
      <c r="F405">
        <v>0</v>
      </c>
      <c r="G405">
        <v>67</v>
      </c>
      <c r="H405" s="1">
        <v>36647</v>
      </c>
      <c r="I405" s="1" t="s">
        <v>1102</v>
      </c>
      <c r="J405" t="s">
        <v>11</v>
      </c>
      <c r="K405" s="2">
        <v>321.60000000000002</v>
      </c>
      <c r="L405" s="1">
        <v>35321.599999999999</v>
      </c>
    </row>
    <row r="406" spans="1:12" x14ac:dyDescent="0.35">
      <c r="A406" t="s">
        <v>429</v>
      </c>
      <c r="B406" t="s">
        <v>16</v>
      </c>
      <c r="C406" t="s">
        <v>13</v>
      </c>
      <c r="D406" t="s">
        <v>14</v>
      </c>
      <c r="E406" s="3">
        <v>2909124</v>
      </c>
      <c r="F406">
        <v>34226</v>
      </c>
      <c r="G406">
        <v>244</v>
      </c>
      <c r="H406" s="1">
        <v>0</v>
      </c>
      <c r="I406" s="1" t="s">
        <v>1102</v>
      </c>
      <c r="J406" t="s">
        <v>53</v>
      </c>
      <c r="K406" s="2">
        <v>494.39502399999998</v>
      </c>
      <c r="L406" s="1">
        <v>35494.395024004603</v>
      </c>
    </row>
    <row r="407" spans="1:12" x14ac:dyDescent="0.35">
      <c r="A407" t="s">
        <v>430</v>
      </c>
      <c r="B407" t="s">
        <v>1</v>
      </c>
      <c r="C407" t="s">
        <v>13</v>
      </c>
      <c r="D407" t="s">
        <v>22</v>
      </c>
      <c r="E407" s="3">
        <v>1983420</v>
      </c>
      <c r="F407">
        <v>65989</v>
      </c>
      <c r="G407">
        <v>123</v>
      </c>
      <c r="H407" s="1">
        <v>36526</v>
      </c>
      <c r="I407" s="1" t="s">
        <v>1102</v>
      </c>
      <c r="J407" t="s">
        <v>20</v>
      </c>
      <c r="K407" s="2">
        <v>115.545086</v>
      </c>
      <c r="L407" s="1">
        <v>35115.5450859954</v>
      </c>
    </row>
    <row r="408" spans="1:12" x14ac:dyDescent="0.35">
      <c r="A408" t="s">
        <v>431</v>
      </c>
      <c r="B408" t="s">
        <v>24</v>
      </c>
      <c r="C408" t="s">
        <v>19</v>
      </c>
      <c r="D408" t="s">
        <v>22</v>
      </c>
      <c r="E408" s="3">
        <v>473137</v>
      </c>
      <c r="F408">
        <v>30686</v>
      </c>
      <c r="G408">
        <v>61</v>
      </c>
      <c r="H408" s="1">
        <v>0</v>
      </c>
      <c r="I408" s="1" t="s">
        <v>1105</v>
      </c>
      <c r="J408" t="s">
        <v>11</v>
      </c>
      <c r="K408" s="2">
        <v>19.938980999999998</v>
      </c>
      <c r="L408" s="1">
        <v>35019.938980995401</v>
      </c>
    </row>
    <row r="409" spans="1:12" x14ac:dyDescent="0.35">
      <c r="A409" t="s">
        <v>432</v>
      </c>
      <c r="B409" t="s">
        <v>1</v>
      </c>
      <c r="C409" t="s">
        <v>13</v>
      </c>
      <c r="D409" t="s">
        <v>10</v>
      </c>
      <c r="E409" s="3">
        <v>3553785</v>
      </c>
      <c r="F409">
        <v>0</v>
      </c>
      <c r="G409">
        <v>113</v>
      </c>
      <c r="H409" s="1">
        <v>0</v>
      </c>
      <c r="I409" s="1" t="s">
        <v>1102</v>
      </c>
      <c r="J409" t="s">
        <v>66</v>
      </c>
      <c r="K409" s="2">
        <v>799.92674099999999</v>
      </c>
      <c r="L409" s="1">
        <v>35799.926740995397</v>
      </c>
    </row>
    <row r="410" spans="1:12" x14ac:dyDescent="0.35">
      <c r="A410" t="s">
        <v>433</v>
      </c>
      <c r="B410" t="s">
        <v>28</v>
      </c>
      <c r="C410" t="s">
        <v>13</v>
      </c>
      <c r="D410" t="s">
        <v>22</v>
      </c>
      <c r="E410" s="3">
        <v>3461138</v>
      </c>
      <c r="F410">
        <v>20090</v>
      </c>
      <c r="G410">
        <v>109</v>
      </c>
      <c r="H410" s="1">
        <v>0</v>
      </c>
      <c r="I410" s="1" t="s">
        <v>1102</v>
      </c>
      <c r="J410" t="s">
        <v>66</v>
      </c>
      <c r="K410" s="2">
        <v>523.20000000000005</v>
      </c>
      <c r="L410" s="1">
        <v>35523.199999999997</v>
      </c>
    </row>
    <row r="411" spans="1:12" x14ac:dyDescent="0.35">
      <c r="A411" t="s">
        <v>434</v>
      </c>
      <c r="B411" t="s">
        <v>1</v>
      </c>
      <c r="C411" t="s">
        <v>19</v>
      </c>
      <c r="D411" t="s">
        <v>22</v>
      </c>
      <c r="E411" s="3">
        <v>2021631</v>
      </c>
      <c r="F411">
        <v>0</v>
      </c>
      <c r="G411">
        <v>183</v>
      </c>
      <c r="H411" s="1">
        <v>0</v>
      </c>
      <c r="I411" s="1" t="s">
        <v>1102</v>
      </c>
      <c r="J411" t="s">
        <v>53</v>
      </c>
      <c r="K411" s="2">
        <v>878.4</v>
      </c>
      <c r="L411" s="1">
        <v>35878.400000000001</v>
      </c>
    </row>
    <row r="412" spans="1:12" x14ac:dyDescent="0.35">
      <c r="A412" t="s">
        <v>435</v>
      </c>
      <c r="B412" t="s">
        <v>24</v>
      </c>
      <c r="C412" t="s">
        <v>19</v>
      </c>
      <c r="D412" t="s">
        <v>26</v>
      </c>
      <c r="E412" s="3">
        <v>1397652</v>
      </c>
      <c r="F412">
        <v>77094</v>
      </c>
      <c r="G412">
        <v>176</v>
      </c>
      <c r="H412" s="1">
        <v>0</v>
      </c>
      <c r="I412" s="1" t="s">
        <v>1102</v>
      </c>
      <c r="J412" t="s">
        <v>20</v>
      </c>
      <c r="K412" s="2">
        <v>444.47067600000003</v>
      </c>
      <c r="L412" s="1">
        <v>35444.470675995399</v>
      </c>
    </row>
    <row r="413" spans="1:12" x14ac:dyDescent="0.35">
      <c r="A413" t="s">
        <v>436</v>
      </c>
      <c r="B413" t="s">
        <v>1</v>
      </c>
      <c r="C413" t="s">
        <v>13</v>
      </c>
      <c r="D413" t="s">
        <v>26</v>
      </c>
      <c r="E413" s="3">
        <v>590409</v>
      </c>
      <c r="F413">
        <v>97413</v>
      </c>
      <c r="G413">
        <v>73</v>
      </c>
      <c r="H413" s="1">
        <v>0</v>
      </c>
      <c r="I413" s="1" t="s">
        <v>1102</v>
      </c>
      <c r="J413" t="s">
        <v>11</v>
      </c>
      <c r="K413" s="2">
        <v>268.81998499999997</v>
      </c>
      <c r="L413" s="1">
        <v>35268.819985000002</v>
      </c>
    </row>
    <row r="414" spans="1:12" x14ac:dyDescent="0.35">
      <c r="A414" t="s">
        <v>437</v>
      </c>
      <c r="B414" t="s">
        <v>24</v>
      </c>
      <c r="C414" t="s">
        <v>13</v>
      </c>
      <c r="D414" t="s">
        <v>10</v>
      </c>
      <c r="E414" s="3">
        <v>559584</v>
      </c>
      <c r="F414">
        <v>79189</v>
      </c>
      <c r="G414">
        <v>69</v>
      </c>
      <c r="H414" s="1">
        <v>0</v>
      </c>
      <c r="I414" s="1" t="s">
        <v>1105</v>
      </c>
      <c r="J414" t="s">
        <v>11</v>
      </c>
      <c r="K414" s="2">
        <v>331.2</v>
      </c>
      <c r="L414" s="1">
        <v>35331.199999999997</v>
      </c>
    </row>
    <row r="415" spans="1:12" x14ac:dyDescent="0.35">
      <c r="A415" t="s">
        <v>438</v>
      </c>
      <c r="B415" t="s">
        <v>1</v>
      </c>
      <c r="C415" t="s">
        <v>13</v>
      </c>
      <c r="D415" t="s">
        <v>22</v>
      </c>
      <c r="E415" s="3">
        <v>229430</v>
      </c>
      <c r="F415">
        <v>0</v>
      </c>
      <c r="G415">
        <v>62</v>
      </c>
      <c r="H415" s="1">
        <v>0</v>
      </c>
      <c r="I415" s="1" t="s">
        <v>1102</v>
      </c>
      <c r="J415" t="s">
        <v>17</v>
      </c>
      <c r="K415" s="2">
        <v>297.60000000000002</v>
      </c>
      <c r="L415" s="1">
        <v>35297.599999999999</v>
      </c>
    </row>
    <row r="416" spans="1:12" x14ac:dyDescent="0.35">
      <c r="A416" t="s">
        <v>439</v>
      </c>
      <c r="B416" t="s">
        <v>28</v>
      </c>
      <c r="C416" t="s">
        <v>13</v>
      </c>
      <c r="D416" t="s">
        <v>26</v>
      </c>
      <c r="E416" s="3">
        <v>627391</v>
      </c>
      <c r="F416">
        <v>18577</v>
      </c>
      <c r="G416">
        <v>86</v>
      </c>
      <c r="H416" s="1">
        <v>0</v>
      </c>
      <c r="I416" s="1" t="s">
        <v>1102</v>
      </c>
      <c r="J416" t="s">
        <v>11</v>
      </c>
      <c r="K416" s="2">
        <v>412.8</v>
      </c>
      <c r="L416" s="1">
        <v>35412.800000000003</v>
      </c>
    </row>
    <row r="417" spans="1:12" x14ac:dyDescent="0.35">
      <c r="A417" t="s">
        <v>440</v>
      </c>
      <c r="B417" t="s">
        <v>24</v>
      </c>
      <c r="C417" t="s">
        <v>13</v>
      </c>
      <c r="D417" t="s">
        <v>26</v>
      </c>
      <c r="E417" s="3">
        <v>372673</v>
      </c>
      <c r="F417">
        <v>0</v>
      </c>
      <c r="G417">
        <v>112</v>
      </c>
      <c r="H417" s="1">
        <v>36526</v>
      </c>
      <c r="I417" s="1" t="s">
        <v>1112</v>
      </c>
      <c r="J417" t="s">
        <v>66</v>
      </c>
      <c r="K417" s="2">
        <v>806.4</v>
      </c>
      <c r="L417" s="1">
        <v>35806.400000000001</v>
      </c>
    </row>
    <row r="418" spans="1:12" x14ac:dyDescent="0.35">
      <c r="A418" t="s">
        <v>441</v>
      </c>
      <c r="B418" t="s">
        <v>8</v>
      </c>
      <c r="C418" t="s">
        <v>19</v>
      </c>
      <c r="D418" t="s">
        <v>22</v>
      </c>
      <c r="E418" s="3">
        <v>265671</v>
      </c>
      <c r="F418">
        <v>62777</v>
      </c>
      <c r="G418">
        <v>67</v>
      </c>
      <c r="H418" s="1">
        <v>0</v>
      </c>
      <c r="I418" s="1" t="s">
        <v>1102</v>
      </c>
      <c r="J418" t="s">
        <v>17</v>
      </c>
      <c r="K418" s="2">
        <v>101.28806899999999</v>
      </c>
      <c r="L418" s="1">
        <v>35101.2880690046</v>
      </c>
    </row>
    <row r="419" spans="1:12" x14ac:dyDescent="0.35">
      <c r="A419" t="s">
        <v>442</v>
      </c>
      <c r="B419" t="s">
        <v>24</v>
      </c>
      <c r="C419" t="s">
        <v>19</v>
      </c>
      <c r="D419" t="s">
        <v>14</v>
      </c>
      <c r="E419" s="3">
        <v>511068</v>
      </c>
      <c r="F419">
        <v>0</v>
      </c>
      <c r="G419">
        <v>74</v>
      </c>
      <c r="H419" s="1">
        <v>0</v>
      </c>
      <c r="I419" s="1" t="s">
        <v>1105</v>
      </c>
      <c r="J419" t="s">
        <v>11</v>
      </c>
      <c r="K419" s="2">
        <v>532.79999999999995</v>
      </c>
      <c r="L419" s="1">
        <v>35532.800000000003</v>
      </c>
    </row>
    <row r="420" spans="1:12" x14ac:dyDescent="0.35">
      <c r="A420" t="s">
        <v>443</v>
      </c>
      <c r="B420" t="s">
        <v>16</v>
      </c>
      <c r="C420" t="s">
        <v>19</v>
      </c>
      <c r="D420" t="s">
        <v>26</v>
      </c>
      <c r="E420" s="3">
        <v>712660</v>
      </c>
      <c r="F420">
        <v>17483</v>
      </c>
      <c r="G420">
        <v>183</v>
      </c>
      <c r="H420" s="1">
        <v>0</v>
      </c>
      <c r="I420" s="1" t="s">
        <v>1102</v>
      </c>
      <c r="J420" t="s">
        <v>104</v>
      </c>
      <c r="K420" s="2">
        <v>1317.6</v>
      </c>
      <c r="L420" s="1">
        <v>36317.599999999999</v>
      </c>
    </row>
    <row r="421" spans="1:12" x14ac:dyDescent="0.35">
      <c r="A421" t="s">
        <v>444</v>
      </c>
      <c r="B421" t="s">
        <v>24</v>
      </c>
      <c r="C421" t="s">
        <v>19</v>
      </c>
      <c r="D421" t="s">
        <v>10</v>
      </c>
      <c r="E421" s="3">
        <v>460163</v>
      </c>
      <c r="F421">
        <v>84394</v>
      </c>
      <c r="G421">
        <v>114</v>
      </c>
      <c r="H421" s="1">
        <v>0</v>
      </c>
      <c r="I421" s="1" t="s">
        <v>1102</v>
      </c>
      <c r="J421" t="s">
        <v>20</v>
      </c>
      <c r="K421" s="2">
        <v>691.41237799999999</v>
      </c>
      <c r="L421" s="1">
        <v>35691.412377997702</v>
      </c>
    </row>
    <row r="422" spans="1:12" x14ac:dyDescent="0.35">
      <c r="A422" t="s">
        <v>445</v>
      </c>
      <c r="B422" t="s">
        <v>24</v>
      </c>
      <c r="C422" t="s">
        <v>19</v>
      </c>
      <c r="D422" t="s">
        <v>26</v>
      </c>
      <c r="E422" s="3">
        <v>915524</v>
      </c>
      <c r="F422">
        <v>0</v>
      </c>
      <c r="G422">
        <v>127</v>
      </c>
      <c r="H422" s="1">
        <v>0</v>
      </c>
      <c r="I422" s="1" t="s">
        <v>1102</v>
      </c>
      <c r="J422" t="s">
        <v>66</v>
      </c>
      <c r="K422" s="2">
        <v>804.81185900000003</v>
      </c>
      <c r="L422" s="1">
        <v>35804.8118590046</v>
      </c>
    </row>
    <row r="423" spans="1:12" x14ac:dyDescent="0.35">
      <c r="A423" t="s">
        <v>446</v>
      </c>
      <c r="B423" t="s">
        <v>24</v>
      </c>
      <c r="C423" t="s">
        <v>13</v>
      </c>
      <c r="D423" t="s">
        <v>26</v>
      </c>
      <c r="E423" s="3">
        <v>1480806</v>
      </c>
      <c r="F423">
        <v>41440</v>
      </c>
      <c r="G423">
        <v>62</v>
      </c>
      <c r="H423" s="1">
        <v>36526</v>
      </c>
      <c r="I423" s="1" t="s">
        <v>1102</v>
      </c>
      <c r="J423" t="s">
        <v>11</v>
      </c>
      <c r="K423" s="2">
        <v>297.60000000000002</v>
      </c>
      <c r="L423" s="1">
        <v>35297.599999999999</v>
      </c>
    </row>
    <row r="424" spans="1:12" x14ac:dyDescent="0.35">
      <c r="A424" t="s">
        <v>447</v>
      </c>
      <c r="B424" t="s">
        <v>28</v>
      </c>
      <c r="C424" t="s">
        <v>19</v>
      </c>
      <c r="D424" t="s">
        <v>22</v>
      </c>
      <c r="E424" s="3">
        <v>890168</v>
      </c>
      <c r="F424">
        <v>0</v>
      </c>
      <c r="G424">
        <v>136</v>
      </c>
      <c r="H424" s="1">
        <v>36526</v>
      </c>
      <c r="I424" s="1" t="s">
        <v>1102</v>
      </c>
      <c r="J424" t="s">
        <v>66</v>
      </c>
      <c r="K424" s="2">
        <v>1090.8643400000001</v>
      </c>
      <c r="L424" s="1">
        <v>36090.86434</v>
      </c>
    </row>
    <row r="425" spans="1:12" x14ac:dyDescent="0.35">
      <c r="A425" t="s">
        <v>448</v>
      </c>
      <c r="B425" t="s">
        <v>24</v>
      </c>
      <c r="C425" t="s">
        <v>13</v>
      </c>
      <c r="D425" t="s">
        <v>26</v>
      </c>
      <c r="E425" s="3">
        <v>573460</v>
      </c>
      <c r="F425">
        <v>98132</v>
      </c>
      <c r="G425">
        <v>71</v>
      </c>
      <c r="H425" s="1">
        <v>0</v>
      </c>
      <c r="I425" s="1" t="s">
        <v>1102</v>
      </c>
      <c r="J425" t="s">
        <v>17</v>
      </c>
      <c r="K425" s="2">
        <v>50.587035</v>
      </c>
      <c r="L425" s="1">
        <v>35050.587034999997</v>
      </c>
    </row>
    <row r="426" spans="1:12" x14ac:dyDescent="0.35">
      <c r="A426" t="s">
        <v>449</v>
      </c>
      <c r="B426" t="s">
        <v>24</v>
      </c>
      <c r="C426" t="s">
        <v>13</v>
      </c>
      <c r="D426" t="s">
        <v>22</v>
      </c>
      <c r="E426" s="3">
        <v>417770</v>
      </c>
      <c r="F426">
        <v>0</v>
      </c>
      <c r="G426">
        <v>112</v>
      </c>
      <c r="H426" s="1">
        <v>0</v>
      </c>
      <c r="I426" s="1" t="s">
        <v>1102</v>
      </c>
      <c r="J426" t="s">
        <v>11</v>
      </c>
      <c r="K426" s="2">
        <v>537.6</v>
      </c>
      <c r="L426" s="1">
        <v>35537.599999999999</v>
      </c>
    </row>
    <row r="427" spans="1:12" x14ac:dyDescent="0.35">
      <c r="A427" t="s">
        <v>450</v>
      </c>
      <c r="B427" t="s">
        <v>1</v>
      </c>
      <c r="C427" t="s">
        <v>19</v>
      </c>
      <c r="D427" t="s">
        <v>14</v>
      </c>
      <c r="E427" s="3">
        <v>2777629</v>
      </c>
      <c r="F427">
        <v>88220</v>
      </c>
      <c r="G427">
        <v>230</v>
      </c>
      <c r="H427" s="1">
        <v>0</v>
      </c>
      <c r="I427" s="1" t="s">
        <v>1102</v>
      </c>
      <c r="J427" t="s">
        <v>104</v>
      </c>
      <c r="K427" s="2">
        <v>151.528482</v>
      </c>
      <c r="L427" s="1">
        <v>35151.528482002301</v>
      </c>
    </row>
    <row r="428" spans="1:12" x14ac:dyDescent="0.35">
      <c r="A428" t="s">
        <v>451</v>
      </c>
      <c r="B428" t="s">
        <v>28</v>
      </c>
      <c r="C428" t="s">
        <v>13</v>
      </c>
      <c r="D428" t="s">
        <v>10</v>
      </c>
      <c r="E428" s="3">
        <v>1036435</v>
      </c>
      <c r="F428">
        <v>58327</v>
      </c>
      <c r="G428">
        <v>129</v>
      </c>
      <c r="H428" s="1">
        <v>0</v>
      </c>
      <c r="I428" s="1" t="s">
        <v>1102</v>
      </c>
      <c r="J428" t="s">
        <v>20</v>
      </c>
      <c r="K428" s="2">
        <v>347.07594799999998</v>
      </c>
      <c r="L428" s="1">
        <v>35347.075947997699</v>
      </c>
    </row>
    <row r="429" spans="1:12" x14ac:dyDescent="0.35">
      <c r="A429" t="s">
        <v>452</v>
      </c>
      <c r="B429" t="s">
        <v>24</v>
      </c>
      <c r="C429" t="s">
        <v>19</v>
      </c>
      <c r="D429" t="s">
        <v>10</v>
      </c>
      <c r="E429" s="3">
        <v>785190</v>
      </c>
      <c r="F429">
        <v>25950</v>
      </c>
      <c r="G429">
        <v>66</v>
      </c>
      <c r="H429" s="1">
        <v>0</v>
      </c>
      <c r="I429" s="1" t="s">
        <v>1102</v>
      </c>
      <c r="J429" t="s">
        <v>17</v>
      </c>
      <c r="K429" s="2">
        <v>271.69752899999997</v>
      </c>
      <c r="L429" s="1">
        <v>35271.697529004603</v>
      </c>
    </row>
    <row r="430" spans="1:12" x14ac:dyDescent="0.35">
      <c r="A430" t="s">
        <v>453</v>
      </c>
      <c r="B430" t="s">
        <v>24</v>
      </c>
      <c r="C430" t="s">
        <v>19</v>
      </c>
      <c r="D430" t="s">
        <v>22</v>
      </c>
      <c r="E430" s="3">
        <v>477294</v>
      </c>
      <c r="F430">
        <v>20993</v>
      </c>
      <c r="G430">
        <v>133</v>
      </c>
      <c r="H430" s="1">
        <v>0</v>
      </c>
      <c r="I430" s="1" t="s">
        <v>1105</v>
      </c>
      <c r="J430" t="s">
        <v>20</v>
      </c>
      <c r="K430" s="2">
        <v>638.4</v>
      </c>
      <c r="L430" s="1">
        <v>35638.400000000001</v>
      </c>
    </row>
    <row r="431" spans="1:12" x14ac:dyDescent="0.35">
      <c r="A431" t="s">
        <v>454</v>
      </c>
      <c r="B431" t="s">
        <v>24</v>
      </c>
      <c r="C431" t="s">
        <v>19</v>
      </c>
      <c r="D431" t="s">
        <v>22</v>
      </c>
      <c r="E431" s="3">
        <v>1422650</v>
      </c>
      <c r="F431">
        <v>65726</v>
      </c>
      <c r="G431">
        <v>177</v>
      </c>
      <c r="H431" s="1">
        <v>0</v>
      </c>
      <c r="I431" s="1" t="s">
        <v>1105</v>
      </c>
      <c r="J431" t="s">
        <v>20</v>
      </c>
      <c r="K431" s="2">
        <v>849.6</v>
      </c>
      <c r="L431" s="1">
        <v>35849.599999999999</v>
      </c>
    </row>
    <row r="432" spans="1:12" x14ac:dyDescent="0.35">
      <c r="A432" t="s">
        <v>455</v>
      </c>
      <c r="B432" t="s">
        <v>8</v>
      </c>
      <c r="C432" t="s">
        <v>19</v>
      </c>
      <c r="D432" t="s">
        <v>14</v>
      </c>
      <c r="E432" s="3">
        <v>287543</v>
      </c>
      <c r="F432">
        <v>84768</v>
      </c>
      <c r="G432">
        <v>72</v>
      </c>
      <c r="H432" s="1">
        <v>0</v>
      </c>
      <c r="I432" s="1" t="s">
        <v>1102</v>
      </c>
      <c r="J432" t="s">
        <v>17</v>
      </c>
      <c r="K432" s="2">
        <v>110.484661</v>
      </c>
      <c r="L432" s="1">
        <v>35110.484660995397</v>
      </c>
    </row>
    <row r="433" spans="1:12" x14ac:dyDescent="0.35">
      <c r="A433" t="s">
        <v>456</v>
      </c>
      <c r="B433" t="s">
        <v>8</v>
      </c>
      <c r="C433" t="s">
        <v>13</v>
      </c>
      <c r="D433" t="s">
        <v>14</v>
      </c>
      <c r="E433" s="3">
        <v>504130</v>
      </c>
      <c r="F433">
        <v>36234</v>
      </c>
      <c r="G433">
        <v>63</v>
      </c>
      <c r="H433" s="1">
        <v>0</v>
      </c>
      <c r="I433" s="1" t="s">
        <v>1102</v>
      </c>
      <c r="J433" t="s">
        <v>11</v>
      </c>
      <c r="K433" s="2">
        <v>113.534474</v>
      </c>
      <c r="L433" s="1">
        <v>35113.534474004598</v>
      </c>
    </row>
    <row r="434" spans="1:12" x14ac:dyDescent="0.35">
      <c r="A434" t="s">
        <v>457</v>
      </c>
      <c r="B434" t="s">
        <v>1</v>
      </c>
      <c r="C434" t="s">
        <v>19</v>
      </c>
      <c r="D434" t="s">
        <v>26</v>
      </c>
      <c r="E434" s="3">
        <v>436293</v>
      </c>
      <c r="F434">
        <v>58842</v>
      </c>
      <c r="G434">
        <v>110</v>
      </c>
      <c r="H434" s="1">
        <v>0</v>
      </c>
      <c r="I434" s="1" t="s">
        <v>1102</v>
      </c>
      <c r="J434" t="s">
        <v>11</v>
      </c>
      <c r="K434" s="2">
        <v>528</v>
      </c>
      <c r="L434" s="1">
        <v>35528</v>
      </c>
    </row>
    <row r="435" spans="1:12" x14ac:dyDescent="0.35">
      <c r="A435" t="s">
        <v>458</v>
      </c>
      <c r="B435" t="s">
        <v>24</v>
      </c>
      <c r="C435" t="s">
        <v>13</v>
      </c>
      <c r="D435" t="s">
        <v>10</v>
      </c>
      <c r="E435" s="3">
        <v>962452</v>
      </c>
      <c r="F435">
        <v>25629</v>
      </c>
      <c r="G435">
        <v>124</v>
      </c>
      <c r="H435" s="1">
        <v>36557</v>
      </c>
      <c r="I435" s="1" t="s">
        <v>1105</v>
      </c>
      <c r="J435" t="s">
        <v>66</v>
      </c>
      <c r="K435" s="2">
        <v>595.20000000000005</v>
      </c>
      <c r="L435" s="1">
        <v>35595.199999999997</v>
      </c>
    </row>
    <row r="436" spans="1:12" x14ac:dyDescent="0.35">
      <c r="A436" t="s">
        <v>459</v>
      </c>
      <c r="B436" t="s">
        <v>8</v>
      </c>
      <c r="C436" t="s">
        <v>13</v>
      </c>
      <c r="D436" t="s">
        <v>26</v>
      </c>
      <c r="E436" s="3">
        <v>2191441</v>
      </c>
      <c r="F436">
        <v>77311</v>
      </c>
      <c r="G436">
        <v>181</v>
      </c>
      <c r="H436" s="1">
        <v>0</v>
      </c>
      <c r="I436" s="1" t="s">
        <v>1102</v>
      </c>
      <c r="J436" t="s">
        <v>20</v>
      </c>
      <c r="K436" s="2">
        <v>113.60950800000001</v>
      </c>
      <c r="L436" s="1">
        <v>35113.609507997702</v>
      </c>
    </row>
    <row r="437" spans="1:12" x14ac:dyDescent="0.35">
      <c r="A437" t="s">
        <v>460</v>
      </c>
      <c r="B437" t="s">
        <v>1</v>
      </c>
      <c r="C437" t="s">
        <v>19</v>
      </c>
      <c r="D437" t="s">
        <v>68</v>
      </c>
      <c r="E437" s="3">
        <v>694842</v>
      </c>
      <c r="F437">
        <v>0</v>
      </c>
      <c r="G437">
        <v>196</v>
      </c>
      <c r="H437" s="1">
        <v>36557</v>
      </c>
      <c r="I437" s="1" t="s">
        <v>1102</v>
      </c>
      <c r="J437" t="s">
        <v>53</v>
      </c>
      <c r="K437" s="2">
        <v>1337.0634869999999</v>
      </c>
      <c r="L437" s="1">
        <v>36337.063487002299</v>
      </c>
    </row>
    <row r="438" spans="1:12" x14ac:dyDescent="0.35">
      <c r="A438" t="s">
        <v>461</v>
      </c>
      <c r="B438" t="s">
        <v>8</v>
      </c>
      <c r="C438" t="s">
        <v>19</v>
      </c>
      <c r="D438" t="s">
        <v>22</v>
      </c>
      <c r="E438" s="3">
        <v>247153</v>
      </c>
      <c r="F438">
        <v>95697</v>
      </c>
      <c r="G438">
        <v>61</v>
      </c>
      <c r="H438" s="1">
        <v>0</v>
      </c>
      <c r="I438" s="1" t="s">
        <v>1102</v>
      </c>
      <c r="J438" t="s">
        <v>17</v>
      </c>
      <c r="K438" s="2">
        <v>114.273025</v>
      </c>
      <c r="L438" s="1">
        <v>35114.273025000002</v>
      </c>
    </row>
    <row r="439" spans="1:12" x14ac:dyDescent="0.35">
      <c r="A439" t="s">
        <v>462</v>
      </c>
      <c r="B439" t="s">
        <v>24</v>
      </c>
      <c r="C439" t="s">
        <v>13</v>
      </c>
      <c r="D439" t="s">
        <v>14</v>
      </c>
      <c r="E439" s="3">
        <v>2190391</v>
      </c>
      <c r="F439">
        <v>22254</v>
      </c>
      <c r="G439">
        <v>79</v>
      </c>
      <c r="H439" s="1">
        <v>0</v>
      </c>
      <c r="I439" s="1" t="s">
        <v>1102</v>
      </c>
      <c r="J439" t="s">
        <v>11</v>
      </c>
      <c r="K439" s="2">
        <v>125.194389</v>
      </c>
      <c r="L439" s="1">
        <v>35125.194389004602</v>
      </c>
    </row>
    <row r="440" spans="1:12" x14ac:dyDescent="0.35">
      <c r="A440" t="s">
        <v>463</v>
      </c>
      <c r="B440" t="s">
        <v>16</v>
      </c>
      <c r="C440" t="s">
        <v>19</v>
      </c>
      <c r="D440" t="s">
        <v>22</v>
      </c>
      <c r="E440" s="3">
        <v>902882</v>
      </c>
      <c r="F440">
        <v>65974</v>
      </c>
      <c r="G440">
        <v>113</v>
      </c>
      <c r="H440" s="1">
        <v>0</v>
      </c>
      <c r="I440" s="1" t="s">
        <v>1102</v>
      </c>
      <c r="J440" t="s">
        <v>66</v>
      </c>
      <c r="K440" s="2">
        <v>235.22097099999999</v>
      </c>
      <c r="L440" s="1">
        <v>35235.220970995397</v>
      </c>
    </row>
    <row r="441" spans="1:12" x14ac:dyDescent="0.35">
      <c r="A441" t="s">
        <v>464</v>
      </c>
      <c r="B441" t="s">
        <v>24</v>
      </c>
      <c r="C441" t="s">
        <v>13</v>
      </c>
      <c r="D441" t="s">
        <v>26</v>
      </c>
      <c r="E441" s="3">
        <v>530376</v>
      </c>
      <c r="F441">
        <v>0</v>
      </c>
      <c r="G441">
        <v>76</v>
      </c>
      <c r="H441" s="1">
        <v>0</v>
      </c>
      <c r="I441" s="1" t="s">
        <v>1102</v>
      </c>
      <c r="J441" t="s">
        <v>11</v>
      </c>
      <c r="K441" s="2">
        <v>395.34111000000001</v>
      </c>
      <c r="L441" s="1">
        <v>35395.341110000001</v>
      </c>
    </row>
    <row r="442" spans="1:12" x14ac:dyDescent="0.35">
      <c r="A442" t="s">
        <v>465</v>
      </c>
      <c r="B442" t="s">
        <v>8</v>
      </c>
      <c r="C442" t="s">
        <v>19</v>
      </c>
      <c r="D442" t="s">
        <v>22</v>
      </c>
      <c r="E442" s="3">
        <v>2070826</v>
      </c>
      <c r="F442">
        <v>92079</v>
      </c>
      <c r="G442">
        <v>65</v>
      </c>
      <c r="H442" s="1">
        <v>36526</v>
      </c>
      <c r="I442" s="1" t="s">
        <v>1105</v>
      </c>
      <c r="J442" t="s">
        <v>11</v>
      </c>
      <c r="K442" s="2">
        <v>114.798771</v>
      </c>
      <c r="L442" s="1">
        <v>35114.798770995403</v>
      </c>
    </row>
    <row r="443" spans="1:12" x14ac:dyDescent="0.35">
      <c r="A443" t="s">
        <v>466</v>
      </c>
      <c r="B443" t="s">
        <v>16</v>
      </c>
      <c r="C443" t="s">
        <v>19</v>
      </c>
      <c r="D443" t="s">
        <v>22</v>
      </c>
      <c r="E443" s="3">
        <v>512377</v>
      </c>
      <c r="F443">
        <v>0</v>
      </c>
      <c r="G443">
        <v>74</v>
      </c>
      <c r="H443" s="1">
        <v>0</v>
      </c>
      <c r="I443" s="1" t="s">
        <v>1102</v>
      </c>
      <c r="J443" t="s">
        <v>17</v>
      </c>
      <c r="K443" s="2">
        <v>772.79851099999996</v>
      </c>
      <c r="L443" s="1">
        <v>35772.798510995402</v>
      </c>
    </row>
    <row r="444" spans="1:12" x14ac:dyDescent="0.35">
      <c r="A444" t="s">
        <v>467</v>
      </c>
      <c r="B444" t="s">
        <v>24</v>
      </c>
      <c r="C444" t="s">
        <v>19</v>
      </c>
      <c r="D444" t="s">
        <v>26</v>
      </c>
      <c r="E444" s="3">
        <v>949234</v>
      </c>
      <c r="F444">
        <v>0</v>
      </c>
      <c r="G444">
        <v>132</v>
      </c>
      <c r="H444" s="1">
        <v>0</v>
      </c>
      <c r="I444" s="1" t="s">
        <v>1102</v>
      </c>
      <c r="J444" t="s">
        <v>20</v>
      </c>
      <c r="K444" s="2">
        <v>633.6</v>
      </c>
      <c r="L444" s="1">
        <v>35633.599999999999</v>
      </c>
    </row>
    <row r="445" spans="1:12" x14ac:dyDescent="0.35">
      <c r="A445" t="s">
        <v>468</v>
      </c>
      <c r="B445" t="s">
        <v>24</v>
      </c>
      <c r="C445" t="s">
        <v>13</v>
      </c>
      <c r="D445" t="s">
        <v>22</v>
      </c>
      <c r="E445" s="3">
        <v>820486</v>
      </c>
      <c r="F445">
        <v>0</v>
      </c>
      <c r="G445">
        <v>73</v>
      </c>
      <c r="H445" s="1">
        <v>0</v>
      </c>
      <c r="I445" s="1" t="s">
        <v>1102</v>
      </c>
      <c r="J445" t="s">
        <v>11</v>
      </c>
      <c r="K445" s="2">
        <v>350.4</v>
      </c>
      <c r="L445" s="1">
        <v>35350.400000000001</v>
      </c>
    </row>
    <row r="446" spans="1:12" x14ac:dyDescent="0.35">
      <c r="A446" t="s">
        <v>469</v>
      </c>
      <c r="B446" t="s">
        <v>28</v>
      </c>
      <c r="C446" t="s">
        <v>13</v>
      </c>
      <c r="D446" t="s">
        <v>26</v>
      </c>
      <c r="E446" s="3">
        <v>987730</v>
      </c>
      <c r="F446">
        <v>67752</v>
      </c>
      <c r="G446">
        <v>131</v>
      </c>
      <c r="H446" s="1">
        <v>36617</v>
      </c>
      <c r="I446" s="1" t="s">
        <v>1102</v>
      </c>
      <c r="J446" t="s">
        <v>66</v>
      </c>
      <c r="K446" s="2">
        <v>168.51714899999999</v>
      </c>
      <c r="L446" s="1">
        <v>35168.517149004598</v>
      </c>
    </row>
    <row r="447" spans="1:12" x14ac:dyDescent="0.35">
      <c r="A447" t="s">
        <v>470</v>
      </c>
      <c r="B447" t="s">
        <v>1</v>
      </c>
      <c r="C447" t="s">
        <v>13</v>
      </c>
      <c r="D447" t="s">
        <v>14</v>
      </c>
      <c r="E447" s="3">
        <v>481501</v>
      </c>
      <c r="F447">
        <v>25398</v>
      </c>
      <c r="G447">
        <v>64</v>
      </c>
      <c r="H447" s="1">
        <v>0</v>
      </c>
      <c r="I447" s="1" t="s">
        <v>1105</v>
      </c>
      <c r="J447" t="s">
        <v>11</v>
      </c>
      <c r="K447" s="2">
        <v>307.2</v>
      </c>
      <c r="L447" s="1">
        <v>35307.199999999997</v>
      </c>
    </row>
    <row r="448" spans="1:12" x14ac:dyDescent="0.35">
      <c r="A448" t="s">
        <v>471</v>
      </c>
      <c r="B448" t="s">
        <v>1</v>
      </c>
      <c r="C448" t="s">
        <v>19</v>
      </c>
      <c r="D448" t="s">
        <v>22</v>
      </c>
      <c r="E448" s="3">
        <v>627701</v>
      </c>
      <c r="F448">
        <v>0</v>
      </c>
      <c r="G448">
        <v>88</v>
      </c>
      <c r="H448" s="1">
        <v>0</v>
      </c>
      <c r="I448" s="1" t="s">
        <v>1102</v>
      </c>
      <c r="J448" t="s">
        <v>11</v>
      </c>
      <c r="K448" s="2">
        <v>633.6</v>
      </c>
      <c r="L448" s="1">
        <v>35633.599999999999</v>
      </c>
    </row>
    <row r="449" spans="1:12" x14ac:dyDescent="0.35">
      <c r="A449" t="s">
        <v>472</v>
      </c>
      <c r="B449" t="s">
        <v>1</v>
      </c>
      <c r="C449" t="s">
        <v>19</v>
      </c>
      <c r="D449" t="s">
        <v>22</v>
      </c>
      <c r="E449" s="3">
        <v>826064</v>
      </c>
      <c r="F449">
        <v>33321</v>
      </c>
      <c r="G449">
        <v>105</v>
      </c>
      <c r="H449" s="1">
        <v>0</v>
      </c>
      <c r="I449" s="1" t="s">
        <v>1112</v>
      </c>
      <c r="J449" t="s">
        <v>20</v>
      </c>
      <c r="K449" s="2">
        <v>504</v>
      </c>
      <c r="L449" s="1">
        <v>35504</v>
      </c>
    </row>
    <row r="450" spans="1:12" x14ac:dyDescent="0.35">
      <c r="A450" t="s">
        <v>473</v>
      </c>
      <c r="B450" t="s">
        <v>16</v>
      </c>
      <c r="C450" t="s">
        <v>19</v>
      </c>
      <c r="D450" t="s">
        <v>14</v>
      </c>
      <c r="E450" s="3">
        <v>254945</v>
      </c>
      <c r="F450">
        <v>0</v>
      </c>
      <c r="G450">
        <v>78</v>
      </c>
      <c r="H450" s="1">
        <v>0</v>
      </c>
      <c r="I450" s="1" t="s">
        <v>1105</v>
      </c>
      <c r="J450" t="s">
        <v>11</v>
      </c>
      <c r="K450" s="2">
        <v>845.654042</v>
      </c>
      <c r="L450" s="1">
        <v>35845.654042002301</v>
      </c>
    </row>
    <row r="451" spans="1:12" x14ac:dyDescent="0.35">
      <c r="A451" t="s">
        <v>474</v>
      </c>
      <c r="B451" t="s">
        <v>8</v>
      </c>
      <c r="C451" t="s">
        <v>9</v>
      </c>
      <c r="D451" t="s">
        <v>26</v>
      </c>
      <c r="E451" s="3">
        <v>1131809</v>
      </c>
      <c r="F451">
        <v>38923</v>
      </c>
      <c r="G451">
        <v>99</v>
      </c>
      <c r="H451" s="1">
        <v>36557</v>
      </c>
      <c r="I451" s="1" t="s">
        <v>1102</v>
      </c>
      <c r="J451" t="s">
        <v>11</v>
      </c>
      <c r="K451" s="2">
        <v>115.728852</v>
      </c>
      <c r="L451" s="1">
        <v>35115.728852002299</v>
      </c>
    </row>
    <row r="452" spans="1:12" x14ac:dyDescent="0.35">
      <c r="A452" t="s">
        <v>475</v>
      </c>
      <c r="B452" t="s">
        <v>24</v>
      </c>
      <c r="C452" t="s">
        <v>13</v>
      </c>
      <c r="D452" t="s">
        <v>14</v>
      </c>
      <c r="E452" s="3">
        <v>380392</v>
      </c>
      <c r="F452">
        <v>20325</v>
      </c>
      <c r="G452">
        <v>100</v>
      </c>
      <c r="H452" s="1">
        <v>0</v>
      </c>
      <c r="I452" s="1" t="s">
        <v>1102</v>
      </c>
      <c r="J452" t="s">
        <v>66</v>
      </c>
      <c r="K452" s="2">
        <v>668.29396999999994</v>
      </c>
      <c r="L452" s="1">
        <v>35668.293969999999</v>
      </c>
    </row>
    <row r="453" spans="1:12" x14ac:dyDescent="0.35">
      <c r="A453" t="s">
        <v>476</v>
      </c>
      <c r="B453" t="s">
        <v>24</v>
      </c>
      <c r="C453" t="s">
        <v>19</v>
      </c>
      <c r="D453" t="s">
        <v>14</v>
      </c>
      <c r="E453" s="3">
        <v>863540</v>
      </c>
      <c r="F453">
        <v>13129</v>
      </c>
      <c r="G453">
        <v>117</v>
      </c>
      <c r="H453" s="1">
        <v>0</v>
      </c>
      <c r="I453" s="1" t="s">
        <v>1102</v>
      </c>
      <c r="J453" t="s">
        <v>20</v>
      </c>
      <c r="K453" s="2">
        <v>700.90163199999995</v>
      </c>
      <c r="L453" s="1">
        <v>35700.9016320023</v>
      </c>
    </row>
    <row r="454" spans="1:12" x14ac:dyDescent="0.35">
      <c r="A454" t="s">
        <v>477</v>
      </c>
      <c r="B454" t="s">
        <v>24</v>
      </c>
      <c r="C454" t="s">
        <v>13</v>
      </c>
      <c r="D454" t="s">
        <v>22</v>
      </c>
      <c r="E454" s="3">
        <v>551056</v>
      </c>
      <c r="F454">
        <v>0</v>
      </c>
      <c r="G454">
        <v>73</v>
      </c>
      <c r="H454" s="1">
        <v>0</v>
      </c>
      <c r="I454" s="1" t="s">
        <v>1102</v>
      </c>
      <c r="J454" t="s">
        <v>11</v>
      </c>
      <c r="K454" s="2">
        <v>525.6</v>
      </c>
      <c r="L454" s="1">
        <v>35525.599999999999</v>
      </c>
    </row>
    <row r="455" spans="1:12" x14ac:dyDescent="0.35">
      <c r="A455" t="s">
        <v>478</v>
      </c>
      <c r="B455" t="s">
        <v>16</v>
      </c>
      <c r="C455" t="s">
        <v>19</v>
      </c>
      <c r="D455" t="s">
        <v>10</v>
      </c>
      <c r="E455" s="3">
        <v>358588</v>
      </c>
      <c r="F455">
        <v>49080</v>
      </c>
      <c r="G455">
        <v>91</v>
      </c>
      <c r="H455" s="1">
        <v>0</v>
      </c>
      <c r="I455" s="1" t="s">
        <v>1105</v>
      </c>
      <c r="J455" t="s">
        <v>11</v>
      </c>
      <c r="K455" s="2">
        <v>25.298999999999999</v>
      </c>
      <c r="L455" s="1">
        <v>35025.298999999999</v>
      </c>
    </row>
    <row r="456" spans="1:12" x14ac:dyDescent="0.35">
      <c r="A456" t="s">
        <v>479</v>
      </c>
      <c r="B456" t="s">
        <v>16</v>
      </c>
      <c r="C456" t="s">
        <v>19</v>
      </c>
      <c r="D456" t="s">
        <v>26</v>
      </c>
      <c r="E456" s="3">
        <v>488925</v>
      </c>
      <c r="F456">
        <v>42536</v>
      </c>
      <c r="G456">
        <v>63</v>
      </c>
      <c r="H456" s="1">
        <v>0</v>
      </c>
      <c r="I456" s="1" t="s">
        <v>1102</v>
      </c>
      <c r="J456" t="s">
        <v>11</v>
      </c>
      <c r="K456" s="2">
        <v>375.33009700000002</v>
      </c>
      <c r="L456" s="1">
        <v>35375.330097002297</v>
      </c>
    </row>
    <row r="457" spans="1:12" x14ac:dyDescent="0.35">
      <c r="A457" t="s">
        <v>480</v>
      </c>
      <c r="B457" t="s">
        <v>24</v>
      </c>
      <c r="C457" t="s">
        <v>19</v>
      </c>
      <c r="D457" t="s">
        <v>14</v>
      </c>
      <c r="E457" s="3">
        <v>275694</v>
      </c>
      <c r="F457">
        <v>29926</v>
      </c>
      <c r="G457">
        <v>74</v>
      </c>
      <c r="H457" s="1">
        <v>0</v>
      </c>
      <c r="I457" s="1" t="s">
        <v>1105</v>
      </c>
      <c r="J457" t="s">
        <v>11</v>
      </c>
      <c r="K457" s="2">
        <v>418.23366700000003</v>
      </c>
      <c r="L457" s="1">
        <v>35418.2336670023</v>
      </c>
    </row>
    <row r="458" spans="1:12" x14ac:dyDescent="0.35">
      <c r="A458" t="s">
        <v>481</v>
      </c>
      <c r="B458" t="s">
        <v>16</v>
      </c>
      <c r="C458" t="s">
        <v>19</v>
      </c>
      <c r="D458" t="s">
        <v>68</v>
      </c>
      <c r="E458" s="3">
        <v>328955</v>
      </c>
      <c r="F458">
        <v>0</v>
      </c>
      <c r="G458">
        <v>86</v>
      </c>
      <c r="H458" s="1">
        <v>0</v>
      </c>
      <c r="I458" s="1" t="s">
        <v>1105</v>
      </c>
      <c r="J458" t="s">
        <v>17</v>
      </c>
      <c r="K458" s="2">
        <v>398.240791</v>
      </c>
      <c r="L458" s="1">
        <v>35398.240790995398</v>
      </c>
    </row>
    <row r="459" spans="1:12" x14ac:dyDescent="0.35">
      <c r="A459" t="s">
        <v>482</v>
      </c>
      <c r="B459" t="s">
        <v>1</v>
      </c>
      <c r="C459" t="s">
        <v>13</v>
      </c>
      <c r="D459" t="s">
        <v>14</v>
      </c>
      <c r="E459" s="3">
        <v>1093718</v>
      </c>
      <c r="F459">
        <v>21450</v>
      </c>
      <c r="G459">
        <v>138</v>
      </c>
      <c r="H459" s="1">
        <v>0</v>
      </c>
      <c r="I459" s="1" t="s">
        <v>1102</v>
      </c>
      <c r="J459" t="s">
        <v>66</v>
      </c>
      <c r="K459" s="2">
        <v>938.51342499999998</v>
      </c>
      <c r="L459" s="1">
        <v>35938.513424999997</v>
      </c>
    </row>
    <row r="460" spans="1:12" x14ac:dyDescent="0.35">
      <c r="A460" t="s">
        <v>483</v>
      </c>
      <c r="B460" t="s">
        <v>1</v>
      </c>
      <c r="C460" t="s">
        <v>19</v>
      </c>
      <c r="D460" t="s">
        <v>22</v>
      </c>
      <c r="E460" s="3">
        <v>737557</v>
      </c>
      <c r="F460">
        <v>33345</v>
      </c>
      <c r="G460">
        <v>65</v>
      </c>
      <c r="H460" s="1">
        <v>0</v>
      </c>
      <c r="I460" s="1" t="s">
        <v>1105</v>
      </c>
      <c r="J460" t="s">
        <v>11</v>
      </c>
      <c r="K460" s="2">
        <v>338.61986899999999</v>
      </c>
      <c r="L460" s="1">
        <v>35338.6198690046</v>
      </c>
    </row>
    <row r="461" spans="1:12" x14ac:dyDescent="0.35">
      <c r="A461" t="s">
        <v>484</v>
      </c>
      <c r="B461" t="s">
        <v>1</v>
      </c>
      <c r="C461" t="s">
        <v>13</v>
      </c>
      <c r="D461" t="s">
        <v>14</v>
      </c>
      <c r="E461" s="3">
        <v>1011078</v>
      </c>
      <c r="F461">
        <v>15752</v>
      </c>
      <c r="G461">
        <v>90</v>
      </c>
      <c r="H461" s="1">
        <v>0</v>
      </c>
      <c r="I461" s="1" t="s">
        <v>1105</v>
      </c>
      <c r="J461" t="s">
        <v>17</v>
      </c>
      <c r="K461" s="2">
        <v>339.34453100000002</v>
      </c>
      <c r="L461" s="1">
        <v>35339.344530995397</v>
      </c>
    </row>
    <row r="462" spans="1:12" x14ac:dyDescent="0.35">
      <c r="A462" t="s">
        <v>485</v>
      </c>
      <c r="B462" t="s">
        <v>24</v>
      </c>
      <c r="C462" t="s">
        <v>13</v>
      </c>
      <c r="D462" t="s">
        <v>22</v>
      </c>
      <c r="E462" s="3">
        <v>511941</v>
      </c>
      <c r="F462">
        <v>40169</v>
      </c>
      <c r="G462">
        <v>65</v>
      </c>
      <c r="H462" s="1">
        <v>36526</v>
      </c>
      <c r="I462" s="1" t="s">
        <v>1102</v>
      </c>
      <c r="J462" t="s">
        <v>11</v>
      </c>
      <c r="K462" s="2">
        <v>302.81883299999998</v>
      </c>
      <c r="L462" s="1">
        <v>35302.818832997698</v>
      </c>
    </row>
    <row r="463" spans="1:12" x14ac:dyDescent="0.35">
      <c r="A463" t="s">
        <v>486</v>
      </c>
      <c r="B463" t="s">
        <v>1</v>
      </c>
      <c r="C463" t="s">
        <v>13</v>
      </c>
      <c r="D463" t="s">
        <v>26</v>
      </c>
      <c r="E463" s="3">
        <v>853383</v>
      </c>
      <c r="F463">
        <v>26049</v>
      </c>
      <c r="G463">
        <v>113</v>
      </c>
      <c r="H463" s="1">
        <v>36526</v>
      </c>
      <c r="I463" s="1" t="s">
        <v>1102</v>
      </c>
      <c r="J463" t="s">
        <v>20</v>
      </c>
      <c r="K463" s="2">
        <v>619.165344</v>
      </c>
      <c r="L463" s="1">
        <v>35619.165344004599</v>
      </c>
    </row>
    <row r="464" spans="1:12" x14ac:dyDescent="0.35">
      <c r="A464" t="s">
        <v>487</v>
      </c>
      <c r="B464" t="s">
        <v>16</v>
      </c>
      <c r="C464" t="s">
        <v>19</v>
      </c>
      <c r="D464" t="s">
        <v>26</v>
      </c>
      <c r="E464" s="3">
        <v>222477</v>
      </c>
      <c r="F464">
        <v>0</v>
      </c>
      <c r="G464">
        <v>68</v>
      </c>
      <c r="H464" s="1">
        <v>0</v>
      </c>
      <c r="I464" s="1" t="s">
        <v>1102</v>
      </c>
      <c r="J464" t="s">
        <v>11</v>
      </c>
      <c r="K464" s="2">
        <v>326.39999999999998</v>
      </c>
      <c r="L464" s="1">
        <v>35326.400000000001</v>
      </c>
    </row>
    <row r="465" spans="1:12" x14ac:dyDescent="0.35">
      <c r="A465" t="s">
        <v>488</v>
      </c>
      <c r="B465" t="s">
        <v>28</v>
      </c>
      <c r="C465" t="s">
        <v>19</v>
      </c>
      <c r="D465" t="s">
        <v>68</v>
      </c>
      <c r="E465" s="3">
        <v>804280</v>
      </c>
      <c r="F465">
        <v>55411</v>
      </c>
      <c r="G465">
        <v>100</v>
      </c>
      <c r="H465" s="1">
        <v>0</v>
      </c>
      <c r="I465" s="1" t="s">
        <v>1102</v>
      </c>
      <c r="J465" t="s">
        <v>66</v>
      </c>
      <c r="K465" s="2">
        <v>259.561195</v>
      </c>
      <c r="L465" s="1">
        <v>35259.561195000002</v>
      </c>
    </row>
    <row r="466" spans="1:12" x14ac:dyDescent="0.35">
      <c r="A466" t="s">
        <v>489</v>
      </c>
      <c r="B466" t="s">
        <v>24</v>
      </c>
      <c r="C466" t="s">
        <v>19</v>
      </c>
      <c r="D466" t="s">
        <v>26</v>
      </c>
      <c r="E466" s="3">
        <v>255444</v>
      </c>
      <c r="F466">
        <v>12459</v>
      </c>
      <c r="G466">
        <v>70</v>
      </c>
      <c r="H466" s="1">
        <v>0</v>
      </c>
      <c r="I466" s="1" t="s">
        <v>1102</v>
      </c>
      <c r="J466" t="s">
        <v>11</v>
      </c>
      <c r="K466" s="2">
        <v>336</v>
      </c>
      <c r="L466" s="1">
        <v>35336</v>
      </c>
    </row>
    <row r="467" spans="1:12" x14ac:dyDescent="0.35">
      <c r="A467" t="s">
        <v>490</v>
      </c>
      <c r="B467" t="s">
        <v>24</v>
      </c>
      <c r="C467" t="s">
        <v>19</v>
      </c>
      <c r="D467" t="s">
        <v>14</v>
      </c>
      <c r="E467" s="3">
        <v>1807394</v>
      </c>
      <c r="F467">
        <v>64620</v>
      </c>
      <c r="G467">
        <v>76</v>
      </c>
      <c r="H467" s="1">
        <v>36526</v>
      </c>
      <c r="I467" s="1" t="s">
        <v>1102</v>
      </c>
      <c r="J467" t="s">
        <v>17</v>
      </c>
      <c r="K467" s="2">
        <v>364.8</v>
      </c>
      <c r="L467" s="1">
        <v>35364.800000000003</v>
      </c>
    </row>
    <row r="468" spans="1:12" x14ac:dyDescent="0.35">
      <c r="A468" t="s">
        <v>491</v>
      </c>
      <c r="B468" t="s">
        <v>1</v>
      </c>
      <c r="C468" t="s">
        <v>19</v>
      </c>
      <c r="D468" t="s">
        <v>14</v>
      </c>
      <c r="E468" s="3">
        <v>243051</v>
      </c>
      <c r="F468">
        <v>83140</v>
      </c>
      <c r="G468">
        <v>61</v>
      </c>
      <c r="H468" s="1">
        <v>0</v>
      </c>
      <c r="I468" s="1" t="s">
        <v>1105</v>
      </c>
      <c r="J468" t="s">
        <v>11</v>
      </c>
      <c r="K468" s="2">
        <v>179.161843</v>
      </c>
      <c r="L468" s="1">
        <v>35179.161842997702</v>
      </c>
    </row>
    <row r="469" spans="1:12" x14ac:dyDescent="0.35">
      <c r="A469" t="s">
        <v>492</v>
      </c>
      <c r="B469" t="s">
        <v>24</v>
      </c>
      <c r="C469" t="s">
        <v>13</v>
      </c>
      <c r="D469" t="s">
        <v>14</v>
      </c>
      <c r="E469" s="3">
        <v>316766</v>
      </c>
      <c r="F469">
        <v>0</v>
      </c>
      <c r="G469">
        <v>92</v>
      </c>
      <c r="H469" s="1">
        <v>0</v>
      </c>
      <c r="I469" s="1" t="s">
        <v>1105</v>
      </c>
      <c r="J469" t="s">
        <v>11</v>
      </c>
      <c r="K469" s="2">
        <v>662.4</v>
      </c>
      <c r="L469" s="1">
        <v>35662.400000000001</v>
      </c>
    </row>
    <row r="470" spans="1:12" x14ac:dyDescent="0.35">
      <c r="A470" t="s">
        <v>493</v>
      </c>
      <c r="B470" t="s">
        <v>28</v>
      </c>
      <c r="C470" t="s">
        <v>13</v>
      </c>
      <c r="D470" t="s">
        <v>14</v>
      </c>
      <c r="E470" s="3">
        <v>546560</v>
      </c>
      <c r="F470">
        <v>54422</v>
      </c>
      <c r="G470">
        <v>68</v>
      </c>
      <c r="H470" s="1">
        <v>0</v>
      </c>
      <c r="I470" s="1" t="s">
        <v>1105</v>
      </c>
      <c r="J470" t="s">
        <v>11</v>
      </c>
      <c r="K470" s="2">
        <v>75.501852</v>
      </c>
      <c r="L470" s="1">
        <v>35075.5018520023</v>
      </c>
    </row>
    <row r="471" spans="1:12" x14ac:dyDescent="0.35">
      <c r="A471" t="s">
        <v>494</v>
      </c>
      <c r="B471" t="s">
        <v>1</v>
      </c>
      <c r="C471" t="s">
        <v>19</v>
      </c>
      <c r="D471" t="s">
        <v>26</v>
      </c>
      <c r="E471" s="3">
        <v>1035751</v>
      </c>
      <c r="F471">
        <v>68309</v>
      </c>
      <c r="G471">
        <v>131</v>
      </c>
      <c r="H471" s="1">
        <v>0</v>
      </c>
      <c r="I471" s="1" t="s">
        <v>1105</v>
      </c>
      <c r="J471" t="s">
        <v>20</v>
      </c>
      <c r="K471" s="2">
        <v>306.98359599999998</v>
      </c>
      <c r="L471" s="1">
        <v>35306.9835959954</v>
      </c>
    </row>
    <row r="472" spans="1:12" x14ac:dyDescent="0.35">
      <c r="A472" t="s">
        <v>495</v>
      </c>
      <c r="B472" t="s">
        <v>1</v>
      </c>
      <c r="C472" t="s">
        <v>19</v>
      </c>
      <c r="D472" t="s">
        <v>22</v>
      </c>
      <c r="E472" s="3">
        <v>253781</v>
      </c>
      <c r="F472">
        <v>56621</v>
      </c>
      <c r="G472">
        <v>65</v>
      </c>
      <c r="H472" s="1">
        <v>36557</v>
      </c>
      <c r="I472" s="1" t="s">
        <v>1102</v>
      </c>
      <c r="J472" t="s">
        <v>11</v>
      </c>
      <c r="K472" s="2">
        <v>84.026848000000001</v>
      </c>
      <c r="L472" s="1">
        <v>35084.026847997702</v>
      </c>
    </row>
    <row r="473" spans="1:12" x14ac:dyDescent="0.35">
      <c r="A473" t="s">
        <v>496</v>
      </c>
      <c r="B473" t="s">
        <v>28</v>
      </c>
      <c r="C473" t="s">
        <v>13</v>
      </c>
      <c r="D473" t="s">
        <v>26</v>
      </c>
      <c r="E473" s="3">
        <v>282195</v>
      </c>
      <c r="F473">
        <v>38977</v>
      </c>
      <c r="G473">
        <v>70</v>
      </c>
      <c r="H473" s="1">
        <v>0</v>
      </c>
      <c r="I473" s="1" t="s">
        <v>1112</v>
      </c>
      <c r="J473" t="s">
        <v>11</v>
      </c>
      <c r="K473" s="2">
        <v>139.489926</v>
      </c>
      <c r="L473" s="1">
        <v>35139.489925995404</v>
      </c>
    </row>
    <row r="474" spans="1:12" x14ac:dyDescent="0.35">
      <c r="A474" t="s">
        <v>497</v>
      </c>
      <c r="B474" t="s">
        <v>28</v>
      </c>
      <c r="C474" t="s">
        <v>19</v>
      </c>
      <c r="D474" t="s">
        <v>14</v>
      </c>
      <c r="E474" s="3">
        <v>775713</v>
      </c>
      <c r="F474">
        <v>0</v>
      </c>
      <c r="G474">
        <v>111</v>
      </c>
      <c r="H474" s="1">
        <v>0</v>
      </c>
      <c r="I474" s="1" t="s">
        <v>1105</v>
      </c>
      <c r="J474" t="s">
        <v>17</v>
      </c>
      <c r="K474" s="2">
        <v>607.44590000000005</v>
      </c>
      <c r="L474" s="1">
        <v>35607.445899999999</v>
      </c>
    </row>
    <row r="475" spans="1:12" x14ac:dyDescent="0.35">
      <c r="A475" t="s">
        <v>498</v>
      </c>
      <c r="B475" t="s">
        <v>28</v>
      </c>
      <c r="C475" t="s">
        <v>19</v>
      </c>
      <c r="D475" t="s">
        <v>22</v>
      </c>
      <c r="E475" s="3">
        <v>407913</v>
      </c>
      <c r="F475">
        <v>0</v>
      </c>
      <c r="G475">
        <v>114</v>
      </c>
      <c r="H475" s="1">
        <v>0</v>
      </c>
      <c r="I475" s="1" t="s">
        <v>1105</v>
      </c>
      <c r="J475" t="s">
        <v>17</v>
      </c>
      <c r="K475" s="2">
        <v>631.12437199999999</v>
      </c>
      <c r="L475" s="1">
        <v>35631.124372002298</v>
      </c>
    </row>
    <row r="476" spans="1:12" x14ac:dyDescent="0.35">
      <c r="A476" t="s">
        <v>499</v>
      </c>
      <c r="B476" t="s">
        <v>28</v>
      </c>
      <c r="C476" t="s">
        <v>13</v>
      </c>
      <c r="D476" t="s">
        <v>26</v>
      </c>
      <c r="E476" s="3">
        <v>595554</v>
      </c>
      <c r="F476">
        <v>0</v>
      </c>
      <c r="G476">
        <v>83</v>
      </c>
      <c r="H476" s="1">
        <v>0</v>
      </c>
      <c r="I476" s="1" t="s">
        <v>1102</v>
      </c>
      <c r="J476" t="s">
        <v>11</v>
      </c>
      <c r="K476" s="2">
        <v>628.02349400000003</v>
      </c>
      <c r="L476" s="1">
        <v>35628.023494004599</v>
      </c>
    </row>
    <row r="477" spans="1:12" x14ac:dyDescent="0.35">
      <c r="A477" t="s">
        <v>500</v>
      </c>
      <c r="B477" t="s">
        <v>24</v>
      </c>
      <c r="C477" t="s">
        <v>13</v>
      </c>
      <c r="D477" t="s">
        <v>14</v>
      </c>
      <c r="E477" s="3">
        <v>1415861</v>
      </c>
      <c r="F477">
        <v>83235</v>
      </c>
      <c r="G477">
        <v>70</v>
      </c>
      <c r="H477" s="1">
        <v>0</v>
      </c>
      <c r="I477" s="1" t="s">
        <v>1102</v>
      </c>
      <c r="J477" t="s">
        <v>17</v>
      </c>
      <c r="K477" s="2">
        <v>336</v>
      </c>
      <c r="L477" s="1">
        <v>35336</v>
      </c>
    </row>
    <row r="478" spans="1:12" x14ac:dyDescent="0.35">
      <c r="A478" t="s">
        <v>501</v>
      </c>
      <c r="B478" t="s">
        <v>16</v>
      </c>
      <c r="C478" t="s">
        <v>19</v>
      </c>
      <c r="D478" t="s">
        <v>26</v>
      </c>
      <c r="E478" s="3">
        <v>848724</v>
      </c>
      <c r="F478">
        <v>0</v>
      </c>
      <c r="G478">
        <v>74</v>
      </c>
      <c r="H478" s="1">
        <v>0</v>
      </c>
      <c r="I478" s="1" t="s">
        <v>1102</v>
      </c>
      <c r="J478" t="s">
        <v>17</v>
      </c>
      <c r="K478" s="2">
        <v>426.655599</v>
      </c>
      <c r="L478" s="1">
        <v>35426.655599004604</v>
      </c>
    </row>
    <row r="479" spans="1:12" x14ac:dyDescent="0.35">
      <c r="A479" t="s">
        <v>502</v>
      </c>
      <c r="B479" t="s">
        <v>28</v>
      </c>
      <c r="C479" t="s">
        <v>19</v>
      </c>
      <c r="D479" t="s">
        <v>26</v>
      </c>
      <c r="E479" s="3">
        <v>628548</v>
      </c>
      <c r="F479">
        <v>32390</v>
      </c>
      <c r="G479">
        <v>80</v>
      </c>
      <c r="H479" s="1">
        <v>0</v>
      </c>
      <c r="I479" s="1" t="s">
        <v>1102</v>
      </c>
      <c r="J479" t="s">
        <v>11</v>
      </c>
      <c r="K479" s="2">
        <v>91.417923000000002</v>
      </c>
      <c r="L479" s="1">
        <v>35091.417922997702</v>
      </c>
    </row>
    <row r="480" spans="1:12" x14ac:dyDescent="0.35">
      <c r="A480" t="s">
        <v>503</v>
      </c>
      <c r="B480" t="s">
        <v>24</v>
      </c>
      <c r="C480" t="s">
        <v>13</v>
      </c>
      <c r="D480" t="s">
        <v>22</v>
      </c>
      <c r="E480" s="3">
        <v>1147348</v>
      </c>
      <c r="F480">
        <v>66538</v>
      </c>
      <c r="G480">
        <v>95</v>
      </c>
      <c r="H480" s="1">
        <v>0</v>
      </c>
      <c r="I480" s="1" t="s">
        <v>1102</v>
      </c>
      <c r="J480" t="s">
        <v>17</v>
      </c>
      <c r="K480" s="2">
        <v>317.84481199999999</v>
      </c>
      <c r="L480" s="1">
        <v>35317.844812002302</v>
      </c>
    </row>
    <row r="481" spans="1:12" x14ac:dyDescent="0.35">
      <c r="A481" t="s">
        <v>504</v>
      </c>
      <c r="B481" t="s">
        <v>8</v>
      </c>
      <c r="C481" t="s">
        <v>13</v>
      </c>
      <c r="D481" t="s">
        <v>26</v>
      </c>
      <c r="E481" s="3">
        <v>494263</v>
      </c>
      <c r="F481">
        <v>23285</v>
      </c>
      <c r="G481">
        <v>65</v>
      </c>
      <c r="H481" s="1">
        <v>0</v>
      </c>
      <c r="I481" s="1" t="s">
        <v>1102</v>
      </c>
      <c r="J481" t="s">
        <v>17</v>
      </c>
      <c r="K481" s="2">
        <v>118.446235</v>
      </c>
      <c r="L481" s="1">
        <v>35118.446235000003</v>
      </c>
    </row>
    <row r="482" spans="1:12" x14ac:dyDescent="0.35">
      <c r="A482" t="s">
        <v>505</v>
      </c>
      <c r="B482" t="s">
        <v>24</v>
      </c>
      <c r="C482" t="s">
        <v>19</v>
      </c>
      <c r="D482" t="s">
        <v>14</v>
      </c>
      <c r="E482" s="3">
        <v>2359468</v>
      </c>
      <c r="F482">
        <v>76358</v>
      </c>
      <c r="G482">
        <v>66</v>
      </c>
      <c r="H482" s="1">
        <v>0</v>
      </c>
      <c r="I482" s="1" t="s">
        <v>1102</v>
      </c>
      <c r="J482" t="s">
        <v>11</v>
      </c>
      <c r="K482" s="2">
        <v>86.461582000000007</v>
      </c>
      <c r="L482" s="1">
        <v>35086.461582002303</v>
      </c>
    </row>
    <row r="483" spans="1:12" x14ac:dyDescent="0.35">
      <c r="A483" t="s">
        <v>506</v>
      </c>
      <c r="B483" t="s">
        <v>8</v>
      </c>
      <c r="C483" t="s">
        <v>19</v>
      </c>
      <c r="D483" t="s">
        <v>10</v>
      </c>
      <c r="E483" s="3">
        <v>257251</v>
      </c>
      <c r="F483">
        <v>21104</v>
      </c>
      <c r="G483">
        <v>66</v>
      </c>
      <c r="H483" s="1">
        <v>0</v>
      </c>
      <c r="I483" s="1" t="s">
        <v>1102</v>
      </c>
      <c r="J483" t="s">
        <v>11</v>
      </c>
      <c r="K483" s="2">
        <v>118.45497400000001</v>
      </c>
      <c r="L483" s="1">
        <v>35118.454974004599</v>
      </c>
    </row>
    <row r="484" spans="1:12" x14ac:dyDescent="0.35">
      <c r="A484" t="s">
        <v>507</v>
      </c>
      <c r="B484" t="s">
        <v>28</v>
      </c>
      <c r="C484" t="s">
        <v>13</v>
      </c>
      <c r="D484" t="s">
        <v>26</v>
      </c>
      <c r="E484" s="3">
        <v>538090</v>
      </c>
      <c r="F484">
        <v>55350</v>
      </c>
      <c r="G484">
        <v>67</v>
      </c>
      <c r="H484" s="1">
        <v>0</v>
      </c>
      <c r="I484" s="1" t="s">
        <v>1102</v>
      </c>
      <c r="J484" t="s">
        <v>11</v>
      </c>
      <c r="K484" s="2">
        <v>321.60000000000002</v>
      </c>
      <c r="L484" s="1">
        <v>35321.599999999999</v>
      </c>
    </row>
    <row r="485" spans="1:12" x14ac:dyDescent="0.35">
      <c r="A485" t="s">
        <v>508</v>
      </c>
      <c r="B485" t="s">
        <v>1</v>
      </c>
      <c r="C485" t="s">
        <v>13</v>
      </c>
      <c r="D485" t="s">
        <v>26</v>
      </c>
      <c r="E485" s="3">
        <v>477055</v>
      </c>
      <c r="F485">
        <v>12964</v>
      </c>
      <c r="G485">
        <v>65</v>
      </c>
      <c r="H485" s="1">
        <v>0</v>
      </c>
      <c r="I485" s="1" t="s">
        <v>1102</v>
      </c>
      <c r="J485" t="s">
        <v>17</v>
      </c>
      <c r="K485" s="2">
        <v>362.77454499999999</v>
      </c>
      <c r="L485" s="1">
        <v>35362.774545</v>
      </c>
    </row>
    <row r="486" spans="1:12" x14ac:dyDescent="0.35">
      <c r="A486" t="s">
        <v>509</v>
      </c>
      <c r="B486" t="s">
        <v>28</v>
      </c>
      <c r="C486" t="s">
        <v>13</v>
      </c>
      <c r="D486" t="s">
        <v>10</v>
      </c>
      <c r="E486" s="3">
        <v>675665</v>
      </c>
      <c r="F486">
        <v>33288</v>
      </c>
      <c r="G486">
        <v>86</v>
      </c>
      <c r="H486" s="1">
        <v>36557</v>
      </c>
      <c r="I486" s="1" t="s">
        <v>1102</v>
      </c>
      <c r="J486" t="s">
        <v>11</v>
      </c>
      <c r="K486" s="2">
        <v>221.85618400000001</v>
      </c>
      <c r="L486" s="1">
        <v>35221.856184004602</v>
      </c>
    </row>
    <row r="487" spans="1:12" x14ac:dyDescent="0.35">
      <c r="A487" t="s">
        <v>510</v>
      </c>
      <c r="B487" t="s">
        <v>28</v>
      </c>
      <c r="C487" t="s">
        <v>13</v>
      </c>
      <c r="D487" t="s">
        <v>26</v>
      </c>
      <c r="E487" s="3">
        <v>593601</v>
      </c>
      <c r="F487">
        <v>0</v>
      </c>
      <c r="G487">
        <v>84</v>
      </c>
      <c r="H487" s="1">
        <v>0</v>
      </c>
      <c r="I487" s="1" t="s">
        <v>1102</v>
      </c>
      <c r="J487" t="s">
        <v>11</v>
      </c>
      <c r="K487" s="2">
        <v>980.16908100000001</v>
      </c>
      <c r="L487" s="1">
        <v>35980.169080995402</v>
      </c>
    </row>
    <row r="488" spans="1:12" x14ac:dyDescent="0.35">
      <c r="A488" t="s">
        <v>511</v>
      </c>
      <c r="B488" t="s">
        <v>28</v>
      </c>
      <c r="C488" t="s">
        <v>13</v>
      </c>
      <c r="D488" t="s">
        <v>14</v>
      </c>
      <c r="E488" s="3">
        <v>357076</v>
      </c>
      <c r="F488">
        <v>56168</v>
      </c>
      <c r="G488">
        <v>88</v>
      </c>
      <c r="H488" s="1">
        <v>0</v>
      </c>
      <c r="I488" s="1" t="s">
        <v>1102</v>
      </c>
      <c r="J488" t="s">
        <v>11</v>
      </c>
      <c r="K488" s="2">
        <v>614.67590600000005</v>
      </c>
      <c r="L488" s="1">
        <v>35614.675905995398</v>
      </c>
    </row>
    <row r="489" spans="1:12" x14ac:dyDescent="0.35">
      <c r="A489" t="s">
        <v>512</v>
      </c>
      <c r="B489" t="s">
        <v>1</v>
      </c>
      <c r="C489" t="s">
        <v>19</v>
      </c>
      <c r="D489" t="s">
        <v>26</v>
      </c>
      <c r="E489" s="3">
        <v>601996</v>
      </c>
      <c r="F489">
        <v>0</v>
      </c>
      <c r="G489">
        <v>92</v>
      </c>
      <c r="H489" s="1">
        <v>0</v>
      </c>
      <c r="I489" s="1" t="s">
        <v>1102</v>
      </c>
      <c r="J489" t="s">
        <v>11</v>
      </c>
      <c r="K489" s="2">
        <v>662.4</v>
      </c>
      <c r="L489" s="1">
        <v>35662.400000000001</v>
      </c>
    </row>
    <row r="490" spans="1:12" x14ac:dyDescent="0.35">
      <c r="A490" t="s">
        <v>513</v>
      </c>
      <c r="B490" t="s">
        <v>24</v>
      </c>
      <c r="C490" t="s">
        <v>19</v>
      </c>
      <c r="D490" t="s">
        <v>22</v>
      </c>
      <c r="E490" s="3">
        <v>542686</v>
      </c>
      <c r="F490">
        <v>23105</v>
      </c>
      <c r="G490">
        <v>69</v>
      </c>
      <c r="H490" s="1">
        <v>0</v>
      </c>
      <c r="I490" s="1" t="s">
        <v>1102</v>
      </c>
      <c r="J490" t="s">
        <v>17</v>
      </c>
      <c r="K490" s="2">
        <v>331.2</v>
      </c>
      <c r="L490" s="1">
        <v>35331.199999999997</v>
      </c>
    </row>
    <row r="491" spans="1:12" x14ac:dyDescent="0.35">
      <c r="A491" t="s">
        <v>514</v>
      </c>
      <c r="B491" t="s">
        <v>24</v>
      </c>
      <c r="C491" t="s">
        <v>13</v>
      </c>
      <c r="D491" t="s">
        <v>10</v>
      </c>
      <c r="E491" s="3">
        <v>273031</v>
      </c>
      <c r="F491">
        <v>36218</v>
      </c>
      <c r="G491">
        <v>68</v>
      </c>
      <c r="H491" s="1">
        <v>0</v>
      </c>
      <c r="I491" s="1" t="s">
        <v>1102</v>
      </c>
      <c r="J491" t="s">
        <v>11</v>
      </c>
      <c r="K491" s="2">
        <v>145.25216800000001</v>
      </c>
      <c r="L491" s="1">
        <v>35145.2521679977</v>
      </c>
    </row>
    <row r="492" spans="1:12" x14ac:dyDescent="0.35">
      <c r="A492" t="s">
        <v>515</v>
      </c>
      <c r="B492" t="s">
        <v>1</v>
      </c>
      <c r="C492" t="s">
        <v>13</v>
      </c>
      <c r="D492" t="s">
        <v>22</v>
      </c>
      <c r="E492" s="3">
        <v>498268</v>
      </c>
      <c r="F492">
        <v>52275</v>
      </c>
      <c r="G492">
        <v>62</v>
      </c>
      <c r="H492" s="1">
        <v>0</v>
      </c>
      <c r="I492" s="1" t="s">
        <v>1105</v>
      </c>
      <c r="J492" t="s">
        <v>11</v>
      </c>
      <c r="K492" s="2">
        <v>374.24078300000002</v>
      </c>
      <c r="L492" s="1">
        <v>35374.240782997702</v>
      </c>
    </row>
    <row r="493" spans="1:12" x14ac:dyDescent="0.35">
      <c r="A493" t="s">
        <v>516</v>
      </c>
      <c r="B493" t="s">
        <v>24</v>
      </c>
      <c r="C493" t="s">
        <v>13</v>
      </c>
      <c r="D493" t="s">
        <v>26</v>
      </c>
      <c r="E493" s="3">
        <v>876927</v>
      </c>
      <c r="F493">
        <v>49665</v>
      </c>
      <c r="G493">
        <v>74</v>
      </c>
      <c r="H493" s="1">
        <v>0</v>
      </c>
      <c r="I493" s="1" t="s">
        <v>1102</v>
      </c>
      <c r="J493" t="s">
        <v>11</v>
      </c>
      <c r="K493" s="2">
        <v>355.2</v>
      </c>
      <c r="L493" s="1">
        <v>35355.199999999997</v>
      </c>
    </row>
    <row r="494" spans="1:12" x14ac:dyDescent="0.35">
      <c r="A494" t="s">
        <v>517</v>
      </c>
      <c r="B494" t="s">
        <v>16</v>
      </c>
      <c r="C494" t="s">
        <v>19</v>
      </c>
      <c r="D494" t="s">
        <v>22</v>
      </c>
      <c r="E494" s="3">
        <v>422061</v>
      </c>
      <c r="F494">
        <v>32471</v>
      </c>
      <c r="G494">
        <v>110</v>
      </c>
      <c r="H494" s="1">
        <v>0</v>
      </c>
      <c r="I494" s="1" t="s">
        <v>1102</v>
      </c>
      <c r="J494" t="s">
        <v>17</v>
      </c>
      <c r="K494" s="2">
        <v>528</v>
      </c>
      <c r="L494" s="1">
        <v>35528</v>
      </c>
    </row>
    <row r="495" spans="1:12" x14ac:dyDescent="0.35">
      <c r="A495" t="s">
        <v>518</v>
      </c>
      <c r="B495" t="s">
        <v>28</v>
      </c>
      <c r="C495" t="s">
        <v>19</v>
      </c>
      <c r="D495" t="s">
        <v>22</v>
      </c>
      <c r="E495" s="3">
        <v>1153751</v>
      </c>
      <c r="F495">
        <v>0</v>
      </c>
      <c r="G495">
        <v>86</v>
      </c>
      <c r="H495" s="1">
        <v>36526</v>
      </c>
      <c r="I495" s="1" t="s">
        <v>1105</v>
      </c>
      <c r="J495" t="s">
        <v>17</v>
      </c>
      <c r="K495" s="2">
        <v>619.20000000000005</v>
      </c>
      <c r="L495" s="1">
        <v>35619.199999999997</v>
      </c>
    </row>
    <row r="496" spans="1:12" x14ac:dyDescent="0.35">
      <c r="A496" t="s">
        <v>519</v>
      </c>
      <c r="B496" t="s">
        <v>1</v>
      </c>
      <c r="C496" t="s">
        <v>13</v>
      </c>
      <c r="D496" t="s">
        <v>10</v>
      </c>
      <c r="E496" s="3">
        <v>588718</v>
      </c>
      <c r="F496">
        <v>62773</v>
      </c>
      <c r="G496">
        <v>73</v>
      </c>
      <c r="H496" s="1">
        <v>0</v>
      </c>
      <c r="I496" s="1" t="s">
        <v>1102</v>
      </c>
      <c r="J496" t="s">
        <v>11</v>
      </c>
      <c r="K496" s="2">
        <v>80.669257000000002</v>
      </c>
      <c r="L496" s="1">
        <v>35080.669257002301</v>
      </c>
    </row>
    <row r="497" spans="1:12" x14ac:dyDescent="0.35">
      <c r="A497" t="s">
        <v>520</v>
      </c>
      <c r="B497" t="s">
        <v>1</v>
      </c>
      <c r="C497" t="s">
        <v>13</v>
      </c>
      <c r="D497" t="s">
        <v>26</v>
      </c>
      <c r="E497" s="3">
        <v>470058</v>
      </c>
      <c r="F497">
        <v>76694</v>
      </c>
      <c r="G497">
        <v>117</v>
      </c>
      <c r="H497" s="1">
        <v>0</v>
      </c>
      <c r="I497" s="1" t="s">
        <v>1102</v>
      </c>
      <c r="J497" t="s">
        <v>20</v>
      </c>
      <c r="K497" s="2">
        <v>561.6</v>
      </c>
      <c r="L497" s="1">
        <v>35561.599999999999</v>
      </c>
    </row>
    <row r="498" spans="1:12" x14ac:dyDescent="0.35">
      <c r="A498" t="s">
        <v>521</v>
      </c>
      <c r="B498" t="s">
        <v>24</v>
      </c>
      <c r="C498" t="s">
        <v>19</v>
      </c>
      <c r="D498" t="s">
        <v>22</v>
      </c>
      <c r="E498" s="3">
        <v>1096396</v>
      </c>
      <c r="F498">
        <v>55687</v>
      </c>
      <c r="G498">
        <v>276</v>
      </c>
      <c r="H498" s="1">
        <v>0</v>
      </c>
      <c r="I498" s="1" t="s">
        <v>1102</v>
      </c>
      <c r="J498" t="s">
        <v>53</v>
      </c>
      <c r="K498" s="2">
        <v>1324.8</v>
      </c>
      <c r="L498" s="1">
        <v>36324.800000000003</v>
      </c>
    </row>
    <row r="499" spans="1:12" x14ac:dyDescent="0.35">
      <c r="A499" t="s">
        <v>522</v>
      </c>
      <c r="B499" t="s">
        <v>28</v>
      </c>
      <c r="C499" t="s">
        <v>13</v>
      </c>
      <c r="D499" t="s">
        <v>22</v>
      </c>
      <c r="E499" s="3">
        <v>252317</v>
      </c>
      <c r="F499">
        <v>0</v>
      </c>
      <c r="G499">
        <v>70</v>
      </c>
      <c r="H499" s="1">
        <v>0</v>
      </c>
      <c r="I499" s="1" t="s">
        <v>1102</v>
      </c>
      <c r="J499" t="s">
        <v>11</v>
      </c>
      <c r="K499" s="2">
        <v>504</v>
      </c>
      <c r="L499" s="1">
        <v>35504</v>
      </c>
    </row>
    <row r="500" spans="1:12" x14ac:dyDescent="0.35">
      <c r="A500" t="s">
        <v>523</v>
      </c>
      <c r="B500" t="s">
        <v>16</v>
      </c>
      <c r="C500" t="s">
        <v>19</v>
      </c>
      <c r="D500" t="s">
        <v>68</v>
      </c>
      <c r="E500" s="3">
        <v>375780</v>
      </c>
      <c r="F500">
        <v>36633</v>
      </c>
      <c r="G500">
        <v>96</v>
      </c>
      <c r="H500" s="1">
        <v>36526</v>
      </c>
      <c r="I500" s="1" t="s">
        <v>1102</v>
      </c>
      <c r="J500" t="s">
        <v>11</v>
      </c>
      <c r="K500" s="2">
        <v>460.8</v>
      </c>
      <c r="L500" s="1">
        <v>35460.800000000003</v>
      </c>
    </row>
    <row r="501" spans="1:12" x14ac:dyDescent="0.35">
      <c r="A501" t="s">
        <v>524</v>
      </c>
      <c r="B501" t="s">
        <v>24</v>
      </c>
      <c r="C501" t="s">
        <v>19</v>
      </c>
      <c r="D501" t="s">
        <v>22</v>
      </c>
      <c r="E501" s="3">
        <v>1294173</v>
      </c>
      <c r="F501">
        <v>77060</v>
      </c>
      <c r="G501">
        <v>106</v>
      </c>
      <c r="H501" s="1">
        <v>0</v>
      </c>
      <c r="I501" s="1" t="s">
        <v>1102</v>
      </c>
      <c r="J501" t="s">
        <v>20</v>
      </c>
      <c r="K501" s="2">
        <v>468.56613299999998</v>
      </c>
      <c r="L501" s="1">
        <v>35468.566132997701</v>
      </c>
    </row>
    <row r="502" spans="1:12" x14ac:dyDescent="0.35">
      <c r="A502" t="s">
        <v>525</v>
      </c>
      <c r="B502" t="s">
        <v>16</v>
      </c>
      <c r="C502" t="s">
        <v>13</v>
      </c>
      <c r="D502" t="s">
        <v>14</v>
      </c>
      <c r="E502" s="3">
        <v>376447</v>
      </c>
      <c r="F502">
        <v>92600</v>
      </c>
      <c r="G502">
        <v>94</v>
      </c>
      <c r="H502" s="1">
        <v>0</v>
      </c>
      <c r="I502" s="1" t="s">
        <v>1105</v>
      </c>
      <c r="J502" t="s">
        <v>17</v>
      </c>
      <c r="K502" s="2">
        <v>842.43785000000003</v>
      </c>
      <c r="L502" s="1">
        <v>35842.437850000002</v>
      </c>
    </row>
    <row r="503" spans="1:12" x14ac:dyDescent="0.35">
      <c r="A503" t="s">
        <v>526</v>
      </c>
      <c r="B503" t="s">
        <v>1</v>
      </c>
      <c r="C503" t="s">
        <v>19</v>
      </c>
      <c r="D503" t="s">
        <v>22</v>
      </c>
      <c r="E503" s="3">
        <v>688956</v>
      </c>
      <c r="F503">
        <v>0</v>
      </c>
      <c r="G503">
        <v>66</v>
      </c>
      <c r="H503" s="1">
        <v>0</v>
      </c>
      <c r="I503" s="1" t="s">
        <v>1102</v>
      </c>
      <c r="J503" t="s">
        <v>11</v>
      </c>
      <c r="K503" s="2">
        <v>475.2</v>
      </c>
      <c r="L503" s="1">
        <v>35475.199999999997</v>
      </c>
    </row>
    <row r="504" spans="1:12" x14ac:dyDescent="0.35">
      <c r="A504" t="s">
        <v>527</v>
      </c>
      <c r="B504" t="s">
        <v>16</v>
      </c>
      <c r="C504" t="s">
        <v>19</v>
      </c>
      <c r="D504" t="s">
        <v>26</v>
      </c>
      <c r="E504" s="3">
        <v>362345</v>
      </c>
      <c r="F504">
        <v>0</v>
      </c>
      <c r="G504">
        <v>111</v>
      </c>
      <c r="H504" s="1">
        <v>36557</v>
      </c>
      <c r="I504" s="1" t="s">
        <v>1105</v>
      </c>
      <c r="J504" t="s">
        <v>20</v>
      </c>
      <c r="K504" s="2">
        <v>1171.9311700000001</v>
      </c>
      <c r="L504" s="1">
        <v>36171.931170000003</v>
      </c>
    </row>
    <row r="505" spans="1:12" x14ac:dyDescent="0.35">
      <c r="A505" t="s">
        <v>528</v>
      </c>
      <c r="B505" t="s">
        <v>28</v>
      </c>
      <c r="C505" t="s">
        <v>19</v>
      </c>
      <c r="D505" t="s">
        <v>26</v>
      </c>
      <c r="E505" s="3">
        <v>758211</v>
      </c>
      <c r="F505">
        <v>64801</v>
      </c>
      <c r="G505">
        <v>64</v>
      </c>
      <c r="H505" s="1">
        <v>0</v>
      </c>
      <c r="I505" s="1" t="s">
        <v>1102</v>
      </c>
      <c r="J505" t="s">
        <v>11</v>
      </c>
      <c r="K505" s="2">
        <v>268.47180200000003</v>
      </c>
      <c r="L505" s="1">
        <v>35268.471802002299</v>
      </c>
    </row>
    <row r="506" spans="1:12" x14ac:dyDescent="0.35">
      <c r="A506" t="s">
        <v>529</v>
      </c>
      <c r="B506" t="s">
        <v>24</v>
      </c>
      <c r="C506" t="s">
        <v>13</v>
      </c>
      <c r="D506" t="s">
        <v>26</v>
      </c>
      <c r="E506" s="3">
        <v>827775</v>
      </c>
      <c r="F506">
        <v>45257</v>
      </c>
      <c r="G506">
        <v>103</v>
      </c>
      <c r="H506" s="1">
        <v>0</v>
      </c>
      <c r="I506" s="1" t="s">
        <v>1105</v>
      </c>
      <c r="J506" t="s">
        <v>17</v>
      </c>
      <c r="K506" s="2">
        <v>494.4</v>
      </c>
      <c r="L506" s="1">
        <v>35494.400000000001</v>
      </c>
    </row>
    <row r="507" spans="1:12" x14ac:dyDescent="0.35">
      <c r="A507" t="s">
        <v>530</v>
      </c>
      <c r="B507" t="s">
        <v>1</v>
      </c>
      <c r="C507" t="s">
        <v>19</v>
      </c>
      <c r="D507" t="s">
        <v>22</v>
      </c>
      <c r="E507" s="3">
        <v>257646</v>
      </c>
      <c r="F507">
        <v>26854</v>
      </c>
      <c r="G507">
        <v>66</v>
      </c>
      <c r="H507" s="1">
        <v>0</v>
      </c>
      <c r="I507" s="1" t="s">
        <v>1102</v>
      </c>
      <c r="J507" t="s">
        <v>11</v>
      </c>
      <c r="K507" s="2">
        <v>475.2</v>
      </c>
      <c r="L507" s="1">
        <v>35475.199999999997</v>
      </c>
    </row>
    <row r="508" spans="1:12" x14ac:dyDescent="0.35">
      <c r="A508" t="s">
        <v>531</v>
      </c>
      <c r="B508" t="s">
        <v>24</v>
      </c>
      <c r="C508" t="s">
        <v>13</v>
      </c>
      <c r="D508" t="s">
        <v>26</v>
      </c>
      <c r="E508" s="3">
        <v>820539</v>
      </c>
      <c r="F508">
        <v>85840</v>
      </c>
      <c r="G508">
        <v>102</v>
      </c>
      <c r="H508" s="1">
        <v>36557</v>
      </c>
      <c r="I508" s="1" t="s">
        <v>1105</v>
      </c>
      <c r="J508" t="s">
        <v>20</v>
      </c>
      <c r="K508" s="2">
        <v>138.722385</v>
      </c>
      <c r="L508" s="1">
        <v>35138.722385000001</v>
      </c>
    </row>
    <row r="509" spans="1:12" x14ac:dyDescent="0.35">
      <c r="A509" t="s">
        <v>532</v>
      </c>
      <c r="B509" t="s">
        <v>24</v>
      </c>
      <c r="C509" t="s">
        <v>13</v>
      </c>
      <c r="D509" t="s">
        <v>68</v>
      </c>
      <c r="E509" s="3">
        <v>1958247</v>
      </c>
      <c r="F509">
        <v>26463</v>
      </c>
      <c r="G509">
        <v>72</v>
      </c>
      <c r="H509" s="1">
        <v>0</v>
      </c>
      <c r="I509" s="1" t="s">
        <v>1105</v>
      </c>
      <c r="J509" t="s">
        <v>11</v>
      </c>
      <c r="K509" s="2">
        <v>345.6</v>
      </c>
      <c r="L509" s="1">
        <v>35345.599999999999</v>
      </c>
    </row>
    <row r="510" spans="1:12" x14ac:dyDescent="0.35">
      <c r="A510" t="s">
        <v>533</v>
      </c>
      <c r="B510" t="s">
        <v>16</v>
      </c>
      <c r="C510" t="s">
        <v>13</v>
      </c>
      <c r="D510" t="s">
        <v>14</v>
      </c>
      <c r="E510" s="3">
        <v>648153</v>
      </c>
      <c r="F510">
        <v>30689</v>
      </c>
      <c r="G510">
        <v>81</v>
      </c>
      <c r="H510" s="1">
        <v>0</v>
      </c>
      <c r="I510" s="1" t="s">
        <v>1102</v>
      </c>
      <c r="J510" t="s">
        <v>11</v>
      </c>
      <c r="K510" s="2">
        <v>467.24802</v>
      </c>
      <c r="L510" s="1">
        <v>35467.248019999999</v>
      </c>
    </row>
    <row r="511" spans="1:12" x14ac:dyDescent="0.35">
      <c r="A511" t="s">
        <v>534</v>
      </c>
      <c r="B511" t="s">
        <v>24</v>
      </c>
      <c r="C511" t="s">
        <v>19</v>
      </c>
      <c r="D511" t="s">
        <v>22</v>
      </c>
      <c r="E511" s="3">
        <v>259931</v>
      </c>
      <c r="F511">
        <v>29590</v>
      </c>
      <c r="G511">
        <v>66</v>
      </c>
      <c r="H511" s="1">
        <v>0</v>
      </c>
      <c r="I511" s="1" t="s">
        <v>1105</v>
      </c>
      <c r="J511" t="s">
        <v>17</v>
      </c>
      <c r="K511" s="2">
        <v>467.50323600000002</v>
      </c>
      <c r="L511" s="1">
        <v>35467.503235995398</v>
      </c>
    </row>
    <row r="512" spans="1:12" x14ac:dyDescent="0.35">
      <c r="A512" t="s">
        <v>535</v>
      </c>
      <c r="B512" t="s">
        <v>24</v>
      </c>
      <c r="C512" t="s">
        <v>13</v>
      </c>
      <c r="D512" t="s">
        <v>26</v>
      </c>
      <c r="E512" s="3">
        <v>983034</v>
      </c>
      <c r="F512">
        <v>25965</v>
      </c>
      <c r="G512">
        <v>253</v>
      </c>
      <c r="H512" s="1">
        <v>0</v>
      </c>
      <c r="I512" s="1" t="s">
        <v>1102</v>
      </c>
      <c r="J512" t="s">
        <v>53</v>
      </c>
      <c r="K512" s="2">
        <v>1214.4000000000001</v>
      </c>
      <c r="L512" s="1">
        <v>36214.400000000001</v>
      </c>
    </row>
    <row r="513" spans="1:12" x14ac:dyDescent="0.35">
      <c r="A513" t="s">
        <v>536</v>
      </c>
      <c r="B513" t="s">
        <v>24</v>
      </c>
      <c r="C513" t="s">
        <v>19</v>
      </c>
      <c r="D513" t="s">
        <v>14</v>
      </c>
      <c r="E513" s="3">
        <v>1044265</v>
      </c>
      <c r="F513">
        <v>17269</v>
      </c>
      <c r="G513">
        <v>139</v>
      </c>
      <c r="H513" s="1">
        <v>0</v>
      </c>
      <c r="I513" s="1" t="s">
        <v>1102</v>
      </c>
      <c r="J513" t="s">
        <v>20</v>
      </c>
      <c r="K513" s="2">
        <v>667.2</v>
      </c>
      <c r="L513" s="1">
        <v>35667.199999999997</v>
      </c>
    </row>
    <row r="514" spans="1:12" x14ac:dyDescent="0.35">
      <c r="A514" t="s">
        <v>537</v>
      </c>
      <c r="B514" t="s">
        <v>24</v>
      </c>
      <c r="C514" t="s">
        <v>19</v>
      </c>
      <c r="D514" t="s">
        <v>26</v>
      </c>
      <c r="E514" s="3">
        <v>3605754</v>
      </c>
      <c r="F514">
        <v>90330</v>
      </c>
      <c r="G514">
        <v>137</v>
      </c>
      <c r="H514" s="1">
        <v>36586</v>
      </c>
      <c r="I514" s="1" t="s">
        <v>1105</v>
      </c>
      <c r="J514" t="s">
        <v>66</v>
      </c>
      <c r="K514" s="2">
        <v>192.08529899999999</v>
      </c>
      <c r="L514" s="1">
        <v>35192.085299004597</v>
      </c>
    </row>
    <row r="515" spans="1:12" x14ac:dyDescent="0.35">
      <c r="A515" t="s">
        <v>538</v>
      </c>
      <c r="B515" t="s">
        <v>1</v>
      </c>
      <c r="C515" t="s">
        <v>13</v>
      </c>
      <c r="D515" t="s">
        <v>22</v>
      </c>
      <c r="E515" s="3">
        <v>847004</v>
      </c>
      <c r="F515">
        <v>0</v>
      </c>
      <c r="G515">
        <v>113</v>
      </c>
      <c r="H515" s="1">
        <v>0</v>
      </c>
      <c r="I515" s="1" t="s">
        <v>1105</v>
      </c>
      <c r="J515" t="s">
        <v>20</v>
      </c>
      <c r="K515" s="2">
        <v>619.97388899999999</v>
      </c>
      <c r="L515" s="1">
        <v>35619.973889004599</v>
      </c>
    </row>
    <row r="516" spans="1:12" x14ac:dyDescent="0.35">
      <c r="A516" t="s">
        <v>539</v>
      </c>
      <c r="B516" t="s">
        <v>1</v>
      </c>
      <c r="C516" t="s">
        <v>13</v>
      </c>
      <c r="D516" t="s">
        <v>22</v>
      </c>
      <c r="E516" s="3">
        <v>827879</v>
      </c>
      <c r="F516">
        <v>0</v>
      </c>
      <c r="G516">
        <v>110</v>
      </c>
      <c r="H516" s="1">
        <v>0</v>
      </c>
      <c r="I516" s="1" t="s">
        <v>1102</v>
      </c>
      <c r="J516" t="s">
        <v>11</v>
      </c>
      <c r="K516" s="2">
        <v>1002.782553</v>
      </c>
      <c r="L516" s="1">
        <v>36002.782552997698</v>
      </c>
    </row>
    <row r="517" spans="1:12" x14ac:dyDescent="0.35">
      <c r="A517" t="s">
        <v>540</v>
      </c>
      <c r="B517" t="s">
        <v>1</v>
      </c>
      <c r="C517" t="s">
        <v>13</v>
      </c>
      <c r="D517" t="s">
        <v>22</v>
      </c>
      <c r="E517" s="3">
        <v>478893</v>
      </c>
      <c r="F517">
        <v>0</v>
      </c>
      <c r="G517">
        <v>67</v>
      </c>
      <c r="H517" s="1">
        <v>36526</v>
      </c>
      <c r="I517" s="1" t="s">
        <v>1102</v>
      </c>
      <c r="J517" t="s">
        <v>17</v>
      </c>
      <c r="K517" s="2">
        <v>321.60000000000002</v>
      </c>
      <c r="L517" s="1">
        <v>35321.599999999999</v>
      </c>
    </row>
    <row r="518" spans="1:12" x14ac:dyDescent="0.35">
      <c r="A518" t="s">
        <v>541</v>
      </c>
      <c r="B518" t="s">
        <v>28</v>
      </c>
      <c r="C518" t="s">
        <v>13</v>
      </c>
      <c r="D518" t="s">
        <v>14</v>
      </c>
      <c r="E518" s="3">
        <v>308800</v>
      </c>
      <c r="F518">
        <v>18558</v>
      </c>
      <c r="G518">
        <v>80</v>
      </c>
      <c r="H518" s="1">
        <v>0</v>
      </c>
      <c r="I518" s="1" t="s">
        <v>1112</v>
      </c>
      <c r="J518" t="s">
        <v>11</v>
      </c>
      <c r="K518" s="2">
        <v>384</v>
      </c>
      <c r="L518" s="1">
        <v>35384</v>
      </c>
    </row>
    <row r="519" spans="1:12" x14ac:dyDescent="0.35">
      <c r="A519" t="s">
        <v>542</v>
      </c>
      <c r="B519" t="s">
        <v>28</v>
      </c>
      <c r="C519" t="s">
        <v>19</v>
      </c>
      <c r="D519" t="s">
        <v>14</v>
      </c>
      <c r="E519" s="3">
        <v>444374</v>
      </c>
      <c r="F519">
        <v>46384</v>
      </c>
      <c r="G519">
        <v>113</v>
      </c>
      <c r="H519" s="1">
        <v>0</v>
      </c>
      <c r="I519" s="1" t="s">
        <v>1105</v>
      </c>
      <c r="J519" t="s">
        <v>11</v>
      </c>
      <c r="K519" s="2">
        <v>251.774574</v>
      </c>
      <c r="L519" s="1">
        <v>35251.774574004601</v>
      </c>
    </row>
    <row r="520" spans="1:12" x14ac:dyDescent="0.35">
      <c r="A520" t="s">
        <v>543</v>
      </c>
      <c r="B520" t="s">
        <v>24</v>
      </c>
      <c r="C520" t="s">
        <v>13</v>
      </c>
      <c r="D520" t="s">
        <v>22</v>
      </c>
      <c r="E520" s="3">
        <v>798409</v>
      </c>
      <c r="F520">
        <v>0</v>
      </c>
      <c r="G520">
        <v>72</v>
      </c>
      <c r="H520" s="1">
        <v>0</v>
      </c>
      <c r="I520" s="1" t="s">
        <v>1102</v>
      </c>
      <c r="J520" t="s">
        <v>17</v>
      </c>
      <c r="K520" s="2">
        <v>866.20832099999996</v>
      </c>
      <c r="L520" s="1">
        <v>35866.2083209954</v>
      </c>
    </row>
    <row r="521" spans="1:12" x14ac:dyDescent="0.35">
      <c r="A521" t="s">
        <v>544</v>
      </c>
      <c r="B521" t="s">
        <v>24</v>
      </c>
      <c r="C521" t="s">
        <v>13</v>
      </c>
      <c r="D521" t="s">
        <v>26</v>
      </c>
      <c r="E521" s="3">
        <v>718097</v>
      </c>
      <c r="F521">
        <v>42303</v>
      </c>
      <c r="G521">
        <v>180</v>
      </c>
      <c r="H521" s="1">
        <v>0</v>
      </c>
      <c r="I521" s="1" t="s">
        <v>1102</v>
      </c>
      <c r="J521" t="s">
        <v>53</v>
      </c>
      <c r="K521" s="2">
        <v>1210.9209490000001</v>
      </c>
      <c r="L521" s="1">
        <v>36210.920949004598</v>
      </c>
    </row>
    <row r="522" spans="1:12" x14ac:dyDescent="0.35">
      <c r="A522" t="s">
        <v>545</v>
      </c>
      <c r="B522" t="s">
        <v>1</v>
      </c>
      <c r="C522" t="s">
        <v>13</v>
      </c>
      <c r="D522" t="s">
        <v>14</v>
      </c>
      <c r="E522" s="3">
        <v>1565603</v>
      </c>
      <c r="F522">
        <v>71731</v>
      </c>
      <c r="G522">
        <v>130</v>
      </c>
      <c r="H522" s="1">
        <v>0</v>
      </c>
      <c r="I522" s="1" t="s">
        <v>1105</v>
      </c>
      <c r="J522" t="s">
        <v>20</v>
      </c>
      <c r="K522" s="2">
        <v>599.64846599999998</v>
      </c>
      <c r="L522" s="1">
        <v>35599.6484659954</v>
      </c>
    </row>
    <row r="523" spans="1:12" x14ac:dyDescent="0.35">
      <c r="A523" t="s">
        <v>546</v>
      </c>
      <c r="B523" t="s">
        <v>24</v>
      </c>
      <c r="C523" t="s">
        <v>19</v>
      </c>
      <c r="D523" t="s">
        <v>22</v>
      </c>
      <c r="E523" s="3">
        <v>578018</v>
      </c>
      <c r="F523">
        <v>51066</v>
      </c>
      <c r="G523">
        <v>74</v>
      </c>
      <c r="H523" s="1">
        <v>0</v>
      </c>
      <c r="I523" s="1" t="s">
        <v>1105</v>
      </c>
      <c r="J523" t="s">
        <v>11</v>
      </c>
      <c r="K523" s="2">
        <v>787.99331299999994</v>
      </c>
      <c r="L523" s="1">
        <v>35787.9933129977</v>
      </c>
    </row>
    <row r="524" spans="1:12" x14ac:dyDescent="0.35">
      <c r="A524" t="s">
        <v>547</v>
      </c>
      <c r="B524" t="s">
        <v>1</v>
      </c>
      <c r="C524" t="s">
        <v>19</v>
      </c>
      <c r="D524" t="s">
        <v>26</v>
      </c>
      <c r="E524" s="3">
        <v>2071494</v>
      </c>
      <c r="F524">
        <v>0</v>
      </c>
      <c r="G524">
        <v>203</v>
      </c>
      <c r="H524" s="1">
        <v>0</v>
      </c>
      <c r="I524" s="1" t="s">
        <v>1105</v>
      </c>
      <c r="J524" t="s">
        <v>104</v>
      </c>
      <c r="K524" s="2">
        <v>2027.724442</v>
      </c>
      <c r="L524" s="1">
        <v>37027.724442002298</v>
      </c>
    </row>
    <row r="525" spans="1:12" x14ac:dyDescent="0.35">
      <c r="A525" t="s">
        <v>548</v>
      </c>
      <c r="B525" t="s">
        <v>16</v>
      </c>
      <c r="C525" t="s">
        <v>13</v>
      </c>
      <c r="D525" t="s">
        <v>14</v>
      </c>
      <c r="E525" s="3">
        <v>533735</v>
      </c>
      <c r="F525">
        <v>0</v>
      </c>
      <c r="G525">
        <v>86</v>
      </c>
      <c r="H525" s="1">
        <v>36586</v>
      </c>
      <c r="I525" s="1" t="s">
        <v>1102</v>
      </c>
      <c r="J525" t="s">
        <v>11</v>
      </c>
      <c r="K525" s="2">
        <v>619.20000000000005</v>
      </c>
      <c r="L525" s="1">
        <v>35619.199999999997</v>
      </c>
    </row>
    <row r="526" spans="1:12" x14ac:dyDescent="0.35">
      <c r="A526" t="s">
        <v>549</v>
      </c>
      <c r="B526" t="s">
        <v>28</v>
      </c>
      <c r="C526" t="s">
        <v>19</v>
      </c>
      <c r="D526" t="s">
        <v>26</v>
      </c>
      <c r="E526" s="3">
        <v>505083</v>
      </c>
      <c r="F526">
        <v>0</v>
      </c>
      <c r="G526">
        <v>69</v>
      </c>
      <c r="H526" s="1">
        <v>0</v>
      </c>
      <c r="I526" s="1" t="s">
        <v>1102</v>
      </c>
      <c r="J526" t="s">
        <v>17</v>
      </c>
      <c r="K526" s="2">
        <v>72.852046999999999</v>
      </c>
      <c r="L526" s="1">
        <v>35072.8520470023</v>
      </c>
    </row>
    <row r="527" spans="1:12" x14ac:dyDescent="0.35">
      <c r="A527" t="s">
        <v>550</v>
      </c>
      <c r="B527" t="s">
        <v>28</v>
      </c>
      <c r="C527" t="s">
        <v>13</v>
      </c>
      <c r="D527" t="s">
        <v>22</v>
      </c>
      <c r="E527" s="3">
        <v>511662</v>
      </c>
      <c r="F527">
        <v>26173</v>
      </c>
      <c r="G527">
        <v>68</v>
      </c>
      <c r="H527" s="1">
        <v>36526</v>
      </c>
      <c r="I527" s="1" t="s">
        <v>1105</v>
      </c>
      <c r="J527" t="s">
        <v>11</v>
      </c>
      <c r="K527" s="2">
        <v>449.81967100000003</v>
      </c>
      <c r="L527" s="1">
        <v>35449.819670995399</v>
      </c>
    </row>
    <row r="528" spans="1:12" x14ac:dyDescent="0.35">
      <c r="A528" t="s">
        <v>551</v>
      </c>
      <c r="B528" t="s">
        <v>24</v>
      </c>
      <c r="C528" t="s">
        <v>19</v>
      </c>
      <c r="D528" t="s">
        <v>14</v>
      </c>
      <c r="E528" s="3">
        <v>726874</v>
      </c>
      <c r="F528">
        <v>24445</v>
      </c>
      <c r="G528">
        <v>63</v>
      </c>
      <c r="H528" s="1">
        <v>0</v>
      </c>
      <c r="I528" s="1" t="s">
        <v>1102</v>
      </c>
      <c r="J528" t="s">
        <v>17</v>
      </c>
      <c r="K528" s="2">
        <v>302.39999999999998</v>
      </c>
      <c r="L528" s="1">
        <v>35302.400000000001</v>
      </c>
    </row>
    <row r="529" spans="1:12" x14ac:dyDescent="0.35">
      <c r="A529" t="s">
        <v>552</v>
      </c>
      <c r="B529" t="s">
        <v>24</v>
      </c>
      <c r="C529" t="s">
        <v>19</v>
      </c>
      <c r="D529" t="s">
        <v>26</v>
      </c>
      <c r="E529" s="3">
        <v>261661</v>
      </c>
      <c r="F529">
        <v>72302</v>
      </c>
      <c r="G529">
        <v>66</v>
      </c>
      <c r="H529" s="1">
        <v>0</v>
      </c>
      <c r="I529" s="1" t="s">
        <v>1102</v>
      </c>
      <c r="J529" t="s">
        <v>17</v>
      </c>
      <c r="K529" s="2">
        <v>316.8</v>
      </c>
      <c r="L529" s="1">
        <v>35316.800000000003</v>
      </c>
    </row>
    <row r="530" spans="1:12" x14ac:dyDescent="0.35">
      <c r="A530" t="s">
        <v>553</v>
      </c>
      <c r="B530" t="s">
        <v>24</v>
      </c>
      <c r="C530" t="s">
        <v>19</v>
      </c>
      <c r="D530" t="s">
        <v>22</v>
      </c>
      <c r="E530" s="3">
        <v>373844</v>
      </c>
      <c r="F530">
        <v>27208</v>
      </c>
      <c r="G530">
        <v>102</v>
      </c>
      <c r="H530" s="1">
        <v>0</v>
      </c>
      <c r="I530" s="1" t="s">
        <v>1102</v>
      </c>
      <c r="J530" t="s">
        <v>20</v>
      </c>
      <c r="K530" s="2">
        <v>489.6</v>
      </c>
      <c r="L530" s="1">
        <v>35489.599999999999</v>
      </c>
    </row>
    <row r="531" spans="1:12" x14ac:dyDescent="0.35">
      <c r="A531" t="s">
        <v>554</v>
      </c>
      <c r="B531" t="s">
        <v>1</v>
      </c>
      <c r="C531" t="s">
        <v>13</v>
      </c>
      <c r="D531" t="s">
        <v>10</v>
      </c>
      <c r="E531" s="3">
        <v>272536</v>
      </c>
      <c r="F531">
        <v>36650</v>
      </c>
      <c r="G531">
        <v>69</v>
      </c>
      <c r="H531" s="1">
        <v>36526</v>
      </c>
      <c r="I531" s="1" t="s">
        <v>1112</v>
      </c>
      <c r="J531" t="s">
        <v>11</v>
      </c>
      <c r="K531" s="2">
        <v>56.60333</v>
      </c>
      <c r="L531" s="1">
        <v>35056.603329999998</v>
      </c>
    </row>
    <row r="532" spans="1:12" x14ac:dyDescent="0.35">
      <c r="A532" t="s">
        <v>555</v>
      </c>
      <c r="B532" t="s">
        <v>28</v>
      </c>
      <c r="C532" t="s">
        <v>19</v>
      </c>
      <c r="D532" t="s">
        <v>26</v>
      </c>
      <c r="E532" s="3">
        <v>545386</v>
      </c>
      <c r="F532">
        <v>30855</v>
      </c>
      <c r="G532">
        <v>68</v>
      </c>
      <c r="H532" s="1">
        <v>0</v>
      </c>
      <c r="I532" s="1" t="s">
        <v>1105</v>
      </c>
      <c r="J532" t="s">
        <v>11</v>
      </c>
      <c r="K532" s="2">
        <v>259.06086199999999</v>
      </c>
      <c r="L532" s="1">
        <v>35259.060862002298</v>
      </c>
    </row>
    <row r="533" spans="1:12" x14ac:dyDescent="0.35">
      <c r="A533" t="s">
        <v>556</v>
      </c>
      <c r="B533" t="s">
        <v>28</v>
      </c>
      <c r="C533" t="s">
        <v>13</v>
      </c>
      <c r="D533" t="s">
        <v>14</v>
      </c>
      <c r="E533" s="3">
        <v>684615</v>
      </c>
      <c r="F533">
        <v>0</v>
      </c>
      <c r="G533">
        <v>95</v>
      </c>
      <c r="H533" s="1">
        <v>0</v>
      </c>
      <c r="I533" s="1" t="s">
        <v>1102</v>
      </c>
      <c r="J533" t="s">
        <v>17</v>
      </c>
      <c r="K533" s="2">
        <v>456</v>
      </c>
      <c r="L533" s="1">
        <v>35456</v>
      </c>
    </row>
    <row r="534" spans="1:12" x14ac:dyDescent="0.35">
      <c r="A534" t="s">
        <v>557</v>
      </c>
      <c r="B534" t="s">
        <v>24</v>
      </c>
      <c r="C534" t="s">
        <v>19</v>
      </c>
      <c r="D534" t="s">
        <v>10</v>
      </c>
      <c r="E534" s="3">
        <v>617291</v>
      </c>
      <c r="F534">
        <v>99960</v>
      </c>
      <c r="G534">
        <v>76</v>
      </c>
      <c r="H534" s="1">
        <v>0</v>
      </c>
      <c r="I534" s="1" t="s">
        <v>1105</v>
      </c>
      <c r="J534" t="s">
        <v>11</v>
      </c>
      <c r="K534" s="2">
        <v>364.8</v>
      </c>
      <c r="L534" s="1">
        <v>35364.800000000003</v>
      </c>
    </row>
    <row r="535" spans="1:12" x14ac:dyDescent="0.35">
      <c r="A535" t="s">
        <v>558</v>
      </c>
      <c r="B535" t="s">
        <v>28</v>
      </c>
      <c r="C535" t="s">
        <v>13</v>
      </c>
      <c r="D535" t="s">
        <v>14</v>
      </c>
      <c r="E535" s="3">
        <v>1034632</v>
      </c>
      <c r="F535">
        <v>0</v>
      </c>
      <c r="G535">
        <v>98</v>
      </c>
      <c r="H535" s="1">
        <v>0</v>
      </c>
      <c r="I535" s="1" t="s">
        <v>1102</v>
      </c>
      <c r="J535" t="s">
        <v>11</v>
      </c>
      <c r="K535" s="2">
        <v>470.4</v>
      </c>
      <c r="L535" s="1">
        <v>35470.400000000001</v>
      </c>
    </row>
    <row r="536" spans="1:12" x14ac:dyDescent="0.35">
      <c r="A536" t="s">
        <v>559</v>
      </c>
      <c r="B536" t="s">
        <v>16</v>
      </c>
      <c r="C536" t="s">
        <v>13</v>
      </c>
      <c r="D536" t="s">
        <v>14</v>
      </c>
      <c r="E536" s="3">
        <v>699701</v>
      </c>
      <c r="F536">
        <v>55873</v>
      </c>
      <c r="G536">
        <v>88</v>
      </c>
      <c r="H536" s="1">
        <v>0</v>
      </c>
      <c r="I536" s="1" t="s">
        <v>1102</v>
      </c>
      <c r="J536" t="s">
        <v>11</v>
      </c>
      <c r="K536" s="2">
        <v>299.35608300000001</v>
      </c>
      <c r="L536" s="1">
        <v>35299.3560829977</v>
      </c>
    </row>
    <row r="537" spans="1:12" x14ac:dyDescent="0.35">
      <c r="A537" t="s">
        <v>560</v>
      </c>
      <c r="B537" t="s">
        <v>28</v>
      </c>
      <c r="C537" t="s">
        <v>13</v>
      </c>
      <c r="D537" t="s">
        <v>22</v>
      </c>
      <c r="E537" s="3">
        <v>419626</v>
      </c>
      <c r="F537">
        <v>18052</v>
      </c>
      <c r="G537">
        <v>111</v>
      </c>
      <c r="H537" s="1">
        <v>0</v>
      </c>
      <c r="I537" s="1" t="s">
        <v>1102</v>
      </c>
      <c r="J537" t="s">
        <v>11</v>
      </c>
      <c r="K537" s="2">
        <v>699.16790000000003</v>
      </c>
      <c r="L537" s="1">
        <v>35699.1679</v>
      </c>
    </row>
    <row r="538" spans="1:12" x14ac:dyDescent="0.35">
      <c r="A538" t="s">
        <v>561</v>
      </c>
      <c r="B538" t="s">
        <v>24</v>
      </c>
      <c r="C538" t="s">
        <v>13</v>
      </c>
      <c r="D538" t="s">
        <v>22</v>
      </c>
      <c r="E538" s="3">
        <v>785811</v>
      </c>
      <c r="F538">
        <v>28937</v>
      </c>
      <c r="G538">
        <v>104</v>
      </c>
      <c r="H538" s="1">
        <v>36557</v>
      </c>
      <c r="I538" s="1" t="s">
        <v>1102</v>
      </c>
      <c r="J538" t="s">
        <v>20</v>
      </c>
      <c r="K538" s="2">
        <v>117.959654</v>
      </c>
      <c r="L538" s="1">
        <v>35117.959654004597</v>
      </c>
    </row>
    <row r="539" spans="1:12" x14ac:dyDescent="0.35">
      <c r="A539" t="s">
        <v>562</v>
      </c>
      <c r="B539" t="s">
        <v>24</v>
      </c>
      <c r="C539" t="s">
        <v>13</v>
      </c>
      <c r="D539" t="s">
        <v>22</v>
      </c>
      <c r="E539" s="3">
        <v>606434</v>
      </c>
      <c r="F539">
        <v>0</v>
      </c>
      <c r="G539">
        <v>86</v>
      </c>
      <c r="H539" s="1">
        <v>0</v>
      </c>
      <c r="I539" s="1" t="s">
        <v>1102</v>
      </c>
      <c r="J539" t="s">
        <v>11</v>
      </c>
      <c r="K539" s="2">
        <v>545.24034099999994</v>
      </c>
      <c r="L539" s="1">
        <v>35545.240340995399</v>
      </c>
    </row>
    <row r="540" spans="1:12" x14ac:dyDescent="0.35">
      <c r="A540" t="s">
        <v>563</v>
      </c>
      <c r="B540" t="s">
        <v>1</v>
      </c>
      <c r="C540" t="s">
        <v>19</v>
      </c>
      <c r="D540" t="s">
        <v>26</v>
      </c>
      <c r="E540" s="3">
        <v>1749752</v>
      </c>
      <c r="F540">
        <v>0</v>
      </c>
      <c r="G540">
        <v>73</v>
      </c>
      <c r="H540" s="1">
        <v>0</v>
      </c>
      <c r="I540" s="1" t="s">
        <v>1102</v>
      </c>
      <c r="J540" t="s">
        <v>17</v>
      </c>
      <c r="K540" s="2">
        <v>350.4</v>
      </c>
      <c r="L540" s="1">
        <v>35350.400000000001</v>
      </c>
    </row>
    <row r="541" spans="1:12" x14ac:dyDescent="0.35">
      <c r="A541" t="s">
        <v>564</v>
      </c>
      <c r="B541" t="s">
        <v>24</v>
      </c>
      <c r="C541" t="s">
        <v>19</v>
      </c>
      <c r="D541" t="s">
        <v>68</v>
      </c>
      <c r="E541" s="3">
        <v>897065</v>
      </c>
      <c r="F541">
        <v>12829</v>
      </c>
      <c r="G541">
        <v>118</v>
      </c>
      <c r="H541" s="1">
        <v>0</v>
      </c>
      <c r="I541" s="1" t="s">
        <v>1102</v>
      </c>
      <c r="J541" t="s">
        <v>20</v>
      </c>
      <c r="K541" s="2">
        <v>328.23143199999998</v>
      </c>
      <c r="L541" s="1">
        <v>35328.2314320023</v>
      </c>
    </row>
    <row r="542" spans="1:12" x14ac:dyDescent="0.35">
      <c r="A542" t="s">
        <v>565</v>
      </c>
      <c r="B542" t="s">
        <v>24</v>
      </c>
      <c r="C542" t="s">
        <v>13</v>
      </c>
      <c r="D542" t="s">
        <v>10</v>
      </c>
      <c r="E542" s="3">
        <v>592312</v>
      </c>
      <c r="F542">
        <v>92163</v>
      </c>
      <c r="G542">
        <v>73</v>
      </c>
      <c r="H542" s="1">
        <v>0</v>
      </c>
      <c r="I542" s="1" t="s">
        <v>1102</v>
      </c>
      <c r="J542" t="s">
        <v>17</v>
      </c>
      <c r="K542" s="2">
        <v>66.568641999999997</v>
      </c>
      <c r="L542" s="1">
        <v>35066.568642002298</v>
      </c>
    </row>
    <row r="543" spans="1:12" x14ac:dyDescent="0.35">
      <c r="A543" t="s">
        <v>566</v>
      </c>
      <c r="B543" t="s">
        <v>24</v>
      </c>
      <c r="C543" t="s">
        <v>19</v>
      </c>
      <c r="D543" t="s">
        <v>22</v>
      </c>
      <c r="E543" s="3">
        <v>3585060</v>
      </c>
      <c r="F543">
        <v>17588</v>
      </c>
      <c r="G543">
        <v>192</v>
      </c>
      <c r="H543" s="1">
        <v>0</v>
      </c>
      <c r="I543" s="1" t="s">
        <v>1102</v>
      </c>
      <c r="J543" t="s">
        <v>104</v>
      </c>
      <c r="K543" s="2">
        <v>1382.4</v>
      </c>
      <c r="L543" s="1">
        <v>36382.400000000001</v>
      </c>
    </row>
    <row r="544" spans="1:12" x14ac:dyDescent="0.35">
      <c r="A544" t="s">
        <v>567</v>
      </c>
      <c r="B544" t="s">
        <v>8</v>
      </c>
      <c r="C544" t="s">
        <v>13</v>
      </c>
      <c r="D544" t="s">
        <v>14</v>
      </c>
      <c r="E544" s="3">
        <v>870985</v>
      </c>
      <c r="F544">
        <v>41546</v>
      </c>
      <c r="G544">
        <v>111</v>
      </c>
      <c r="H544" s="1">
        <v>0</v>
      </c>
      <c r="I544" s="1" t="s">
        <v>1105</v>
      </c>
      <c r="J544" t="s">
        <v>11</v>
      </c>
      <c r="K544" s="2">
        <v>121.306839</v>
      </c>
      <c r="L544" s="1">
        <v>35121.306839004603</v>
      </c>
    </row>
    <row r="545" spans="1:12" x14ac:dyDescent="0.35">
      <c r="A545" t="s">
        <v>568</v>
      </c>
      <c r="B545" t="s">
        <v>28</v>
      </c>
      <c r="C545" t="s">
        <v>19</v>
      </c>
      <c r="D545" t="s">
        <v>26</v>
      </c>
      <c r="E545" s="3">
        <v>1330934</v>
      </c>
      <c r="F545">
        <v>0</v>
      </c>
      <c r="G545">
        <v>127</v>
      </c>
      <c r="H545" s="1">
        <v>0</v>
      </c>
      <c r="I545" s="1" t="s">
        <v>1102</v>
      </c>
      <c r="J545" t="s">
        <v>20</v>
      </c>
      <c r="K545" s="2">
        <v>609.6</v>
      </c>
      <c r="L545" s="1">
        <v>35609.599999999999</v>
      </c>
    </row>
    <row r="546" spans="1:12" x14ac:dyDescent="0.35">
      <c r="A546" t="s">
        <v>569</v>
      </c>
      <c r="B546" t="s">
        <v>1</v>
      </c>
      <c r="C546" t="s">
        <v>19</v>
      </c>
      <c r="D546" t="s">
        <v>22</v>
      </c>
      <c r="E546" s="3">
        <v>452850</v>
      </c>
      <c r="F546">
        <v>70340</v>
      </c>
      <c r="G546">
        <v>113</v>
      </c>
      <c r="H546" s="1">
        <v>0</v>
      </c>
      <c r="I546" s="1" t="s">
        <v>1112</v>
      </c>
      <c r="J546" t="s">
        <v>11</v>
      </c>
      <c r="K546" s="2">
        <v>542.4</v>
      </c>
      <c r="L546" s="1">
        <v>35542.400000000001</v>
      </c>
    </row>
    <row r="547" spans="1:12" x14ac:dyDescent="0.35">
      <c r="A547" t="s">
        <v>570</v>
      </c>
      <c r="B547" t="s">
        <v>24</v>
      </c>
      <c r="C547" t="s">
        <v>13</v>
      </c>
      <c r="D547" t="s">
        <v>22</v>
      </c>
      <c r="E547" s="3">
        <v>279191</v>
      </c>
      <c r="F547">
        <v>0</v>
      </c>
      <c r="G547">
        <v>74</v>
      </c>
      <c r="H547" s="1">
        <v>0</v>
      </c>
      <c r="I547" s="1" t="s">
        <v>1102</v>
      </c>
      <c r="J547" t="s">
        <v>11</v>
      </c>
      <c r="K547" s="2">
        <v>532.79999999999995</v>
      </c>
      <c r="L547" s="1">
        <v>35532.800000000003</v>
      </c>
    </row>
    <row r="548" spans="1:12" x14ac:dyDescent="0.35">
      <c r="A548" t="s">
        <v>571</v>
      </c>
      <c r="B548" t="s">
        <v>8</v>
      </c>
      <c r="C548" t="s">
        <v>19</v>
      </c>
      <c r="D548" t="s">
        <v>22</v>
      </c>
      <c r="E548" s="3">
        <v>443441</v>
      </c>
      <c r="F548">
        <v>34549</v>
      </c>
      <c r="G548">
        <v>111</v>
      </c>
      <c r="H548" s="1">
        <v>0</v>
      </c>
      <c r="I548" s="1" t="s">
        <v>1102</v>
      </c>
      <c r="J548" t="s">
        <v>11</v>
      </c>
      <c r="K548" s="2">
        <v>125.93300499999999</v>
      </c>
      <c r="L548" s="1">
        <v>35125.933004999999</v>
      </c>
    </row>
    <row r="549" spans="1:12" x14ac:dyDescent="0.35">
      <c r="A549" t="s">
        <v>572</v>
      </c>
      <c r="B549" t="s">
        <v>28</v>
      </c>
      <c r="C549" t="s">
        <v>19</v>
      </c>
      <c r="D549" t="s">
        <v>26</v>
      </c>
      <c r="E549" s="3">
        <v>799601</v>
      </c>
      <c r="F549">
        <v>93459</v>
      </c>
      <c r="G549">
        <v>99</v>
      </c>
      <c r="H549" s="1">
        <v>0</v>
      </c>
      <c r="I549" s="1" t="s">
        <v>1102</v>
      </c>
      <c r="J549" t="s">
        <v>11</v>
      </c>
      <c r="K549" s="2">
        <v>655.41332999999997</v>
      </c>
      <c r="L549" s="1">
        <v>35655.413330000003</v>
      </c>
    </row>
    <row r="550" spans="1:12" x14ac:dyDescent="0.35">
      <c r="A550" t="s">
        <v>573</v>
      </c>
      <c r="B550" t="s">
        <v>28</v>
      </c>
      <c r="C550" t="s">
        <v>19</v>
      </c>
      <c r="D550" t="s">
        <v>14</v>
      </c>
      <c r="E550" s="3">
        <v>512974</v>
      </c>
      <c r="F550">
        <v>86148</v>
      </c>
      <c r="G550">
        <v>65</v>
      </c>
      <c r="H550" s="1">
        <v>36557</v>
      </c>
      <c r="I550" s="1" t="s">
        <v>1102</v>
      </c>
      <c r="J550" t="s">
        <v>11</v>
      </c>
      <c r="K550" s="2">
        <v>312</v>
      </c>
      <c r="L550" s="1">
        <v>35312</v>
      </c>
    </row>
    <row r="551" spans="1:12" x14ac:dyDescent="0.35">
      <c r="A551" t="s">
        <v>574</v>
      </c>
      <c r="B551" t="s">
        <v>1</v>
      </c>
      <c r="C551" t="s">
        <v>13</v>
      </c>
      <c r="D551" t="s">
        <v>14</v>
      </c>
      <c r="E551" s="3">
        <v>569718</v>
      </c>
      <c r="F551">
        <v>27048</v>
      </c>
      <c r="G551">
        <v>72</v>
      </c>
      <c r="H551" s="1">
        <v>0</v>
      </c>
      <c r="I551" s="1" t="s">
        <v>1105</v>
      </c>
      <c r="J551" t="s">
        <v>11</v>
      </c>
      <c r="K551" s="2">
        <v>345.6</v>
      </c>
      <c r="L551" s="1">
        <v>35345.599999999999</v>
      </c>
    </row>
    <row r="552" spans="1:12" x14ac:dyDescent="0.35">
      <c r="A552" t="s">
        <v>575</v>
      </c>
      <c r="B552" t="s">
        <v>24</v>
      </c>
      <c r="C552" t="s">
        <v>13</v>
      </c>
      <c r="D552" t="s">
        <v>26</v>
      </c>
      <c r="E552" s="3">
        <v>921713</v>
      </c>
      <c r="F552">
        <v>73259</v>
      </c>
      <c r="G552">
        <v>115</v>
      </c>
      <c r="H552" s="1">
        <v>0</v>
      </c>
      <c r="I552" s="1" t="s">
        <v>1102</v>
      </c>
      <c r="J552" t="s">
        <v>20</v>
      </c>
      <c r="K552" s="2">
        <v>673.34265000000005</v>
      </c>
      <c r="L552" s="1">
        <v>35673.342649999999</v>
      </c>
    </row>
    <row r="553" spans="1:12" x14ac:dyDescent="0.35">
      <c r="A553" t="s">
        <v>576</v>
      </c>
      <c r="B553" t="s">
        <v>24</v>
      </c>
      <c r="C553" t="s">
        <v>13</v>
      </c>
      <c r="D553" t="s">
        <v>26</v>
      </c>
      <c r="E553" s="3">
        <v>1020893</v>
      </c>
      <c r="F553">
        <v>35482</v>
      </c>
      <c r="G553">
        <v>129</v>
      </c>
      <c r="H553" s="1">
        <v>0</v>
      </c>
      <c r="I553" s="1" t="s">
        <v>1105</v>
      </c>
      <c r="J553" t="s">
        <v>20</v>
      </c>
      <c r="K553" s="2">
        <v>619.20000000000005</v>
      </c>
      <c r="L553" s="1">
        <v>35619.199999999997</v>
      </c>
    </row>
    <row r="554" spans="1:12" x14ac:dyDescent="0.35">
      <c r="A554" t="s">
        <v>577</v>
      </c>
      <c r="B554" t="s">
        <v>24</v>
      </c>
      <c r="C554" t="s">
        <v>13</v>
      </c>
      <c r="D554" t="s">
        <v>10</v>
      </c>
      <c r="E554" s="3">
        <v>417069</v>
      </c>
      <c r="F554">
        <v>29462</v>
      </c>
      <c r="G554">
        <v>107</v>
      </c>
      <c r="H554" s="1">
        <v>36526</v>
      </c>
      <c r="I554" s="1" t="s">
        <v>1102</v>
      </c>
      <c r="J554" t="s">
        <v>20</v>
      </c>
      <c r="K554" s="2">
        <v>513.6</v>
      </c>
      <c r="L554" s="1">
        <v>35513.599999999999</v>
      </c>
    </row>
    <row r="555" spans="1:12" x14ac:dyDescent="0.35">
      <c r="A555" t="s">
        <v>578</v>
      </c>
      <c r="B555" t="s">
        <v>24</v>
      </c>
      <c r="C555" t="s">
        <v>13</v>
      </c>
      <c r="D555" t="s">
        <v>26</v>
      </c>
      <c r="E555" s="3">
        <v>450541</v>
      </c>
      <c r="F555">
        <v>67801</v>
      </c>
      <c r="G555">
        <v>115</v>
      </c>
      <c r="H555" s="1">
        <v>36526</v>
      </c>
      <c r="I555" s="1" t="s">
        <v>1102</v>
      </c>
      <c r="J555" t="s">
        <v>20</v>
      </c>
      <c r="K555" s="2">
        <v>23.810490999999999</v>
      </c>
      <c r="L555" s="1">
        <v>35023.810490995398</v>
      </c>
    </row>
    <row r="556" spans="1:12" x14ac:dyDescent="0.35">
      <c r="A556" t="s">
        <v>579</v>
      </c>
      <c r="B556" t="s">
        <v>1</v>
      </c>
      <c r="C556" t="s">
        <v>19</v>
      </c>
      <c r="D556" t="s">
        <v>22</v>
      </c>
      <c r="E556" s="3">
        <v>310757</v>
      </c>
      <c r="F556">
        <v>0</v>
      </c>
      <c r="G556">
        <v>94</v>
      </c>
      <c r="H556" s="1">
        <v>36617</v>
      </c>
      <c r="I556" s="1" t="s">
        <v>1102</v>
      </c>
      <c r="J556" t="s">
        <v>17</v>
      </c>
      <c r="K556" s="2">
        <v>451.2</v>
      </c>
      <c r="L556" s="1">
        <v>35451.199999999997</v>
      </c>
    </row>
    <row r="557" spans="1:12" x14ac:dyDescent="0.35">
      <c r="A557" t="s">
        <v>580</v>
      </c>
      <c r="B557" t="s">
        <v>28</v>
      </c>
      <c r="C557" t="s">
        <v>19</v>
      </c>
      <c r="D557" t="s">
        <v>22</v>
      </c>
      <c r="E557" s="3">
        <v>552867</v>
      </c>
      <c r="F557">
        <v>16042</v>
      </c>
      <c r="G557">
        <v>73</v>
      </c>
      <c r="H557" s="1">
        <v>0</v>
      </c>
      <c r="I557" s="1" t="s">
        <v>1102</v>
      </c>
      <c r="J557" t="s">
        <v>17</v>
      </c>
      <c r="K557" s="2">
        <v>350.4</v>
      </c>
      <c r="L557" s="1">
        <v>35350.400000000001</v>
      </c>
    </row>
    <row r="558" spans="1:12" x14ac:dyDescent="0.35">
      <c r="A558" t="s">
        <v>581</v>
      </c>
      <c r="B558" t="s">
        <v>1</v>
      </c>
      <c r="C558" t="s">
        <v>19</v>
      </c>
      <c r="D558" t="s">
        <v>22</v>
      </c>
      <c r="E558" s="3">
        <v>504587</v>
      </c>
      <c r="F558">
        <v>28056</v>
      </c>
      <c r="G558">
        <v>64</v>
      </c>
      <c r="H558" s="1">
        <v>36526</v>
      </c>
      <c r="I558" s="1" t="s">
        <v>1102</v>
      </c>
      <c r="J558" t="s">
        <v>11</v>
      </c>
      <c r="K558" s="2">
        <v>307.2</v>
      </c>
      <c r="L558" s="1">
        <v>35307.199999999997</v>
      </c>
    </row>
    <row r="559" spans="1:12" x14ac:dyDescent="0.35">
      <c r="A559" t="s">
        <v>582</v>
      </c>
      <c r="B559" t="s">
        <v>1</v>
      </c>
      <c r="C559" t="s">
        <v>19</v>
      </c>
      <c r="D559" t="s">
        <v>22</v>
      </c>
      <c r="E559" s="3">
        <v>296272</v>
      </c>
      <c r="F559">
        <v>16495</v>
      </c>
      <c r="G559">
        <v>85</v>
      </c>
      <c r="H559" s="1">
        <v>36586</v>
      </c>
      <c r="I559" s="1" t="s">
        <v>1105</v>
      </c>
      <c r="J559" t="s">
        <v>11</v>
      </c>
      <c r="K559" s="2">
        <v>408</v>
      </c>
      <c r="L559" s="1">
        <v>35408</v>
      </c>
    </row>
    <row r="560" spans="1:12" x14ac:dyDescent="0.35">
      <c r="A560" t="s">
        <v>583</v>
      </c>
      <c r="B560" t="s">
        <v>1</v>
      </c>
      <c r="C560" t="s">
        <v>13</v>
      </c>
      <c r="D560" t="s">
        <v>10</v>
      </c>
      <c r="E560" s="3">
        <v>866596</v>
      </c>
      <c r="F560">
        <v>41163</v>
      </c>
      <c r="G560">
        <v>108</v>
      </c>
      <c r="H560" s="1">
        <v>0</v>
      </c>
      <c r="I560" s="1" t="s">
        <v>1105</v>
      </c>
      <c r="J560" t="s">
        <v>20</v>
      </c>
      <c r="K560" s="2">
        <v>231.92217299999999</v>
      </c>
      <c r="L560" s="1">
        <v>35231.9221729977</v>
      </c>
    </row>
    <row r="561" spans="1:12" x14ac:dyDescent="0.35">
      <c r="A561" t="s">
        <v>584</v>
      </c>
      <c r="B561" t="s">
        <v>28</v>
      </c>
      <c r="C561" t="s">
        <v>13</v>
      </c>
      <c r="D561" t="s">
        <v>26</v>
      </c>
      <c r="E561" s="3">
        <v>1141344</v>
      </c>
      <c r="F561">
        <v>0</v>
      </c>
      <c r="G561">
        <v>161</v>
      </c>
      <c r="H561" s="1">
        <v>36526</v>
      </c>
      <c r="I561" s="1" t="s">
        <v>1102</v>
      </c>
      <c r="J561" t="s">
        <v>66</v>
      </c>
      <c r="K561" s="2">
        <v>772.8</v>
      </c>
      <c r="L561" s="1">
        <v>35772.800000000003</v>
      </c>
    </row>
    <row r="562" spans="1:12" x14ac:dyDescent="0.35">
      <c r="A562" t="s">
        <v>585</v>
      </c>
      <c r="B562" t="s">
        <v>1</v>
      </c>
      <c r="C562" t="s">
        <v>19</v>
      </c>
      <c r="D562" t="s">
        <v>14</v>
      </c>
      <c r="E562" s="3">
        <v>1548843</v>
      </c>
      <c r="F562">
        <v>33799</v>
      </c>
      <c r="G562">
        <v>109</v>
      </c>
      <c r="H562" s="1">
        <v>36586</v>
      </c>
      <c r="I562" s="1" t="s">
        <v>1105</v>
      </c>
      <c r="J562" t="s">
        <v>20</v>
      </c>
      <c r="K562" s="2">
        <v>664.98024199999998</v>
      </c>
      <c r="L562" s="1">
        <v>35664.980242002297</v>
      </c>
    </row>
    <row r="563" spans="1:12" x14ac:dyDescent="0.35">
      <c r="A563" t="s">
        <v>586</v>
      </c>
      <c r="B563" t="s">
        <v>8</v>
      </c>
      <c r="C563" t="s">
        <v>13</v>
      </c>
      <c r="D563" t="s">
        <v>26</v>
      </c>
      <c r="E563" s="3">
        <v>886115</v>
      </c>
      <c r="F563">
        <v>90125</v>
      </c>
      <c r="G563">
        <v>110</v>
      </c>
      <c r="H563" s="1">
        <v>0</v>
      </c>
      <c r="I563" s="1" t="s">
        <v>1105</v>
      </c>
      <c r="J563" t="s">
        <v>20</v>
      </c>
      <c r="K563" s="2">
        <v>128.64594600000001</v>
      </c>
      <c r="L563" s="1">
        <v>35128.645945995399</v>
      </c>
    </row>
    <row r="564" spans="1:12" x14ac:dyDescent="0.35">
      <c r="A564" t="s">
        <v>587</v>
      </c>
      <c r="B564" t="s">
        <v>24</v>
      </c>
      <c r="C564" t="s">
        <v>13</v>
      </c>
      <c r="D564" t="s">
        <v>14</v>
      </c>
      <c r="E564" s="3">
        <v>593474</v>
      </c>
      <c r="F564">
        <v>87747</v>
      </c>
      <c r="G564">
        <v>147</v>
      </c>
      <c r="H564" s="1">
        <v>36526</v>
      </c>
      <c r="I564" s="1" t="s">
        <v>1102</v>
      </c>
      <c r="J564" t="s">
        <v>20</v>
      </c>
      <c r="K564" s="2">
        <v>46.492038999999998</v>
      </c>
      <c r="L564" s="1">
        <v>35046.492039004603</v>
      </c>
    </row>
    <row r="565" spans="1:12" x14ac:dyDescent="0.35">
      <c r="A565" t="s">
        <v>588</v>
      </c>
      <c r="B565" t="s">
        <v>16</v>
      </c>
      <c r="C565" t="s">
        <v>19</v>
      </c>
      <c r="D565" t="s">
        <v>26</v>
      </c>
      <c r="E565" s="3">
        <v>354323</v>
      </c>
      <c r="F565">
        <v>35695</v>
      </c>
      <c r="G565">
        <v>90</v>
      </c>
      <c r="H565" s="1">
        <v>0</v>
      </c>
      <c r="I565" s="1" t="s">
        <v>1102</v>
      </c>
      <c r="J565" t="s">
        <v>11</v>
      </c>
      <c r="K565" s="2">
        <v>432</v>
      </c>
      <c r="L565" s="1">
        <v>35432</v>
      </c>
    </row>
    <row r="566" spans="1:12" x14ac:dyDescent="0.35">
      <c r="A566" t="s">
        <v>589</v>
      </c>
      <c r="B566" t="s">
        <v>1</v>
      </c>
      <c r="C566" t="s">
        <v>19</v>
      </c>
      <c r="D566" t="s">
        <v>10</v>
      </c>
      <c r="E566" s="3">
        <v>349003</v>
      </c>
      <c r="F566">
        <v>90985</v>
      </c>
      <c r="G566">
        <v>87</v>
      </c>
      <c r="H566" s="1">
        <v>0</v>
      </c>
      <c r="I566" s="1" t="s">
        <v>1102</v>
      </c>
      <c r="J566" t="s">
        <v>11</v>
      </c>
      <c r="K566" s="2">
        <v>78.085149000000001</v>
      </c>
      <c r="L566" s="1">
        <v>35078.085149004597</v>
      </c>
    </row>
    <row r="567" spans="1:12" x14ac:dyDescent="0.35">
      <c r="A567" t="s">
        <v>590</v>
      </c>
      <c r="B567" t="s">
        <v>1</v>
      </c>
      <c r="C567" t="s">
        <v>13</v>
      </c>
      <c r="D567" t="s">
        <v>26</v>
      </c>
      <c r="E567" s="3">
        <v>368310</v>
      </c>
      <c r="F567">
        <v>0</v>
      </c>
      <c r="G567">
        <v>101</v>
      </c>
      <c r="H567" s="1">
        <v>0</v>
      </c>
      <c r="I567" s="1" t="s">
        <v>1105</v>
      </c>
      <c r="J567" t="s">
        <v>66</v>
      </c>
      <c r="K567" s="2">
        <v>564.46655599999997</v>
      </c>
      <c r="L567" s="1">
        <v>35564.466555995401</v>
      </c>
    </row>
    <row r="568" spans="1:12" x14ac:dyDescent="0.35">
      <c r="A568" t="s">
        <v>591</v>
      </c>
      <c r="B568" t="s">
        <v>1</v>
      </c>
      <c r="C568" t="s">
        <v>19</v>
      </c>
      <c r="D568" t="s">
        <v>26</v>
      </c>
      <c r="E568" s="3">
        <v>598977</v>
      </c>
      <c r="F568">
        <v>66839</v>
      </c>
      <c r="G568">
        <v>154</v>
      </c>
      <c r="H568" s="1">
        <v>0</v>
      </c>
      <c r="I568" s="1" t="s">
        <v>1102</v>
      </c>
      <c r="J568" t="s">
        <v>66</v>
      </c>
      <c r="K568" s="2">
        <v>739.2</v>
      </c>
      <c r="L568" s="1">
        <v>35739.199999999997</v>
      </c>
    </row>
    <row r="569" spans="1:12" x14ac:dyDescent="0.35">
      <c r="A569" t="s">
        <v>592</v>
      </c>
      <c r="B569" t="s">
        <v>1</v>
      </c>
      <c r="C569" t="s">
        <v>13</v>
      </c>
      <c r="D569" t="s">
        <v>22</v>
      </c>
      <c r="E569" s="3">
        <v>1250084</v>
      </c>
      <c r="F569">
        <v>0</v>
      </c>
      <c r="G569">
        <v>165</v>
      </c>
      <c r="H569" s="1">
        <v>0</v>
      </c>
      <c r="I569" s="1" t="s">
        <v>1102</v>
      </c>
      <c r="J569" t="s">
        <v>20</v>
      </c>
      <c r="K569" s="2">
        <v>792</v>
      </c>
      <c r="L569" s="1">
        <v>35792</v>
      </c>
    </row>
    <row r="570" spans="1:12" x14ac:dyDescent="0.35">
      <c r="A570" t="s">
        <v>593</v>
      </c>
      <c r="B570" t="s">
        <v>24</v>
      </c>
      <c r="C570" t="s">
        <v>13</v>
      </c>
      <c r="D570" t="s">
        <v>14</v>
      </c>
      <c r="E570" s="3">
        <v>860916</v>
      </c>
      <c r="F570">
        <v>79090</v>
      </c>
      <c r="G570">
        <v>107</v>
      </c>
      <c r="H570" s="1">
        <v>0</v>
      </c>
      <c r="I570" s="1" t="s">
        <v>1105</v>
      </c>
      <c r="J570" t="s">
        <v>20</v>
      </c>
      <c r="K570" s="2">
        <v>289.04073399999999</v>
      </c>
      <c r="L570" s="1">
        <v>35289.0407340046</v>
      </c>
    </row>
    <row r="571" spans="1:12" x14ac:dyDescent="0.35">
      <c r="A571" t="s">
        <v>594</v>
      </c>
      <c r="B571" t="s">
        <v>24</v>
      </c>
      <c r="C571" t="s">
        <v>19</v>
      </c>
      <c r="D571" t="s">
        <v>14</v>
      </c>
      <c r="E571" s="3">
        <v>249746</v>
      </c>
      <c r="F571">
        <v>24825</v>
      </c>
      <c r="G571">
        <v>64</v>
      </c>
      <c r="H571" s="1">
        <v>0</v>
      </c>
      <c r="I571" s="1" t="s">
        <v>1102</v>
      </c>
      <c r="J571" t="s">
        <v>17</v>
      </c>
      <c r="K571" s="2">
        <v>155.938593</v>
      </c>
      <c r="L571" s="1">
        <v>35155.9385929977</v>
      </c>
    </row>
    <row r="572" spans="1:12" x14ac:dyDescent="0.35">
      <c r="A572" t="s">
        <v>595</v>
      </c>
      <c r="B572" t="s">
        <v>1</v>
      </c>
      <c r="C572" t="s">
        <v>19</v>
      </c>
      <c r="D572" t="s">
        <v>26</v>
      </c>
      <c r="E572" s="3">
        <v>701918</v>
      </c>
      <c r="F572">
        <v>26806</v>
      </c>
      <c r="G572">
        <v>63</v>
      </c>
      <c r="H572" s="1">
        <v>0</v>
      </c>
      <c r="I572" s="1" t="s">
        <v>1102</v>
      </c>
      <c r="J572" t="s">
        <v>11</v>
      </c>
      <c r="K572" s="2">
        <v>302.39999999999998</v>
      </c>
      <c r="L572" s="1">
        <v>35302.400000000001</v>
      </c>
    </row>
    <row r="573" spans="1:12" x14ac:dyDescent="0.35">
      <c r="A573" t="s">
        <v>596</v>
      </c>
      <c r="B573" t="s">
        <v>24</v>
      </c>
      <c r="C573" t="s">
        <v>13</v>
      </c>
      <c r="D573" t="s">
        <v>26</v>
      </c>
      <c r="E573" s="3">
        <v>538793</v>
      </c>
      <c r="F573">
        <v>56835</v>
      </c>
      <c r="G573">
        <v>67</v>
      </c>
      <c r="H573" s="1">
        <v>0</v>
      </c>
      <c r="I573" s="1" t="s">
        <v>1102</v>
      </c>
      <c r="J573" t="s">
        <v>17</v>
      </c>
      <c r="K573" s="2">
        <v>326.54942499999999</v>
      </c>
      <c r="L573" s="1">
        <v>35326.549424999997</v>
      </c>
    </row>
    <row r="574" spans="1:12" x14ac:dyDescent="0.35">
      <c r="A574" t="s">
        <v>597</v>
      </c>
      <c r="B574" t="s">
        <v>24</v>
      </c>
      <c r="C574" t="s">
        <v>13</v>
      </c>
      <c r="D574" t="s">
        <v>14</v>
      </c>
      <c r="E574" s="3">
        <v>616556</v>
      </c>
      <c r="F574">
        <v>0</v>
      </c>
      <c r="G574">
        <v>88</v>
      </c>
      <c r="H574" s="1">
        <v>0</v>
      </c>
      <c r="I574" s="1" t="s">
        <v>1112</v>
      </c>
      <c r="J574" t="s">
        <v>17</v>
      </c>
      <c r="K574" s="2">
        <v>653.65668000000005</v>
      </c>
      <c r="L574" s="1">
        <v>35653.65668</v>
      </c>
    </row>
    <row r="575" spans="1:12" x14ac:dyDescent="0.35">
      <c r="A575" t="s">
        <v>598</v>
      </c>
      <c r="B575" t="s">
        <v>1</v>
      </c>
      <c r="C575" t="s">
        <v>19</v>
      </c>
      <c r="D575" t="s">
        <v>14</v>
      </c>
      <c r="E575" s="3">
        <v>273020</v>
      </c>
      <c r="F575">
        <v>46135</v>
      </c>
      <c r="G575">
        <v>69</v>
      </c>
      <c r="H575" s="1">
        <v>0</v>
      </c>
      <c r="I575" s="1" t="s">
        <v>1102</v>
      </c>
      <c r="J575" t="s">
        <v>11</v>
      </c>
      <c r="K575" s="2">
        <v>103.93560100000001</v>
      </c>
      <c r="L575" s="1">
        <v>35103.935600995399</v>
      </c>
    </row>
    <row r="576" spans="1:12" x14ac:dyDescent="0.35">
      <c r="A576" t="s">
        <v>599</v>
      </c>
      <c r="B576" t="s">
        <v>28</v>
      </c>
      <c r="C576" t="s">
        <v>13</v>
      </c>
      <c r="D576" t="s">
        <v>14</v>
      </c>
      <c r="E576" s="3">
        <v>516212</v>
      </c>
      <c r="F576">
        <v>0</v>
      </c>
      <c r="G576">
        <v>73</v>
      </c>
      <c r="H576" s="1">
        <v>0</v>
      </c>
      <c r="I576" s="1" t="s">
        <v>1102</v>
      </c>
      <c r="J576" t="s">
        <v>11</v>
      </c>
      <c r="K576" s="2">
        <v>809.53234099999997</v>
      </c>
      <c r="L576" s="1">
        <v>35809.5323409954</v>
      </c>
    </row>
    <row r="577" spans="1:12" x14ac:dyDescent="0.35">
      <c r="A577" t="s">
        <v>600</v>
      </c>
      <c r="B577" t="s">
        <v>24</v>
      </c>
      <c r="C577" t="s">
        <v>13</v>
      </c>
      <c r="D577" t="s">
        <v>22</v>
      </c>
      <c r="E577" s="3">
        <v>793706</v>
      </c>
      <c r="F577">
        <v>22862</v>
      </c>
      <c r="G577">
        <v>67</v>
      </c>
      <c r="H577" s="1">
        <v>0</v>
      </c>
      <c r="I577" s="1" t="s">
        <v>1102</v>
      </c>
      <c r="J577" t="s">
        <v>17</v>
      </c>
      <c r="K577" s="2">
        <v>321.60000000000002</v>
      </c>
      <c r="L577" s="1">
        <v>35321.599999999999</v>
      </c>
    </row>
    <row r="578" spans="1:12" x14ac:dyDescent="0.35">
      <c r="A578" t="s">
        <v>601</v>
      </c>
      <c r="B578" t="s">
        <v>24</v>
      </c>
      <c r="C578" t="s">
        <v>13</v>
      </c>
      <c r="D578" t="s">
        <v>22</v>
      </c>
      <c r="E578" s="3">
        <v>860816</v>
      </c>
      <c r="F578">
        <v>21450</v>
      </c>
      <c r="G578">
        <v>110</v>
      </c>
      <c r="H578" s="1">
        <v>36557</v>
      </c>
      <c r="I578" s="1" t="s">
        <v>1102</v>
      </c>
      <c r="J578" t="s">
        <v>66</v>
      </c>
      <c r="K578" s="2">
        <v>528</v>
      </c>
      <c r="L578" s="1">
        <v>35528</v>
      </c>
    </row>
    <row r="579" spans="1:12" x14ac:dyDescent="0.35">
      <c r="A579" t="s">
        <v>602</v>
      </c>
      <c r="B579" t="s">
        <v>24</v>
      </c>
      <c r="C579" t="s">
        <v>19</v>
      </c>
      <c r="D579" t="s">
        <v>14</v>
      </c>
      <c r="E579" s="3">
        <v>263255</v>
      </c>
      <c r="F579">
        <v>95854</v>
      </c>
      <c r="G579">
        <v>65</v>
      </c>
      <c r="H579" s="1">
        <v>0</v>
      </c>
      <c r="I579" s="1" t="s">
        <v>1102</v>
      </c>
      <c r="J579" t="s">
        <v>17</v>
      </c>
      <c r="K579" s="2">
        <v>312</v>
      </c>
      <c r="L579" s="1">
        <v>35312</v>
      </c>
    </row>
    <row r="580" spans="1:12" x14ac:dyDescent="0.35">
      <c r="A580" t="s">
        <v>603</v>
      </c>
      <c r="B580" t="s">
        <v>24</v>
      </c>
      <c r="C580" t="s">
        <v>13</v>
      </c>
      <c r="D580" t="s">
        <v>14</v>
      </c>
      <c r="E580" s="3">
        <v>778500</v>
      </c>
      <c r="F580">
        <v>44897</v>
      </c>
      <c r="G580">
        <v>99</v>
      </c>
      <c r="H580" s="1">
        <v>36526</v>
      </c>
      <c r="I580" s="1" t="s">
        <v>1102</v>
      </c>
      <c r="J580" t="s">
        <v>11</v>
      </c>
      <c r="K580" s="2">
        <v>580.72531000000004</v>
      </c>
      <c r="L580" s="1">
        <v>35580.725310000002</v>
      </c>
    </row>
    <row r="581" spans="1:12" x14ac:dyDescent="0.35">
      <c r="A581" t="s">
        <v>604</v>
      </c>
      <c r="B581" t="s">
        <v>8</v>
      </c>
      <c r="C581" t="s">
        <v>19</v>
      </c>
      <c r="D581" t="s">
        <v>22</v>
      </c>
      <c r="E581" s="3">
        <v>2163984</v>
      </c>
      <c r="F581">
        <v>64455</v>
      </c>
      <c r="G581">
        <v>108</v>
      </c>
      <c r="H581" s="1">
        <v>0</v>
      </c>
      <c r="I581" s="1" t="s">
        <v>1102</v>
      </c>
      <c r="J581" t="s">
        <v>20</v>
      </c>
      <c r="K581" s="2">
        <v>133.73539500000001</v>
      </c>
      <c r="L581" s="1">
        <v>35133.735395000003</v>
      </c>
    </row>
    <row r="582" spans="1:12" x14ac:dyDescent="0.35">
      <c r="A582" t="s">
        <v>605</v>
      </c>
      <c r="B582" t="s">
        <v>24</v>
      </c>
      <c r="C582" t="s">
        <v>13</v>
      </c>
      <c r="D582" t="s">
        <v>10</v>
      </c>
      <c r="E582" s="3">
        <v>498083</v>
      </c>
      <c r="F582">
        <v>53265</v>
      </c>
      <c r="G582">
        <v>62</v>
      </c>
      <c r="H582" s="1">
        <v>0</v>
      </c>
      <c r="I582" s="1" t="s">
        <v>1102</v>
      </c>
      <c r="J582" t="s">
        <v>11</v>
      </c>
      <c r="K582" s="2">
        <v>238.00507400000001</v>
      </c>
      <c r="L582" s="1">
        <v>35238.005074004599</v>
      </c>
    </row>
    <row r="583" spans="1:12" x14ac:dyDescent="0.35">
      <c r="A583" t="s">
        <v>606</v>
      </c>
      <c r="B583" t="s">
        <v>28</v>
      </c>
      <c r="C583" t="s">
        <v>13</v>
      </c>
      <c r="D583" t="s">
        <v>22</v>
      </c>
      <c r="E583" s="3">
        <v>745724</v>
      </c>
      <c r="F583">
        <v>0</v>
      </c>
      <c r="G583">
        <v>198</v>
      </c>
      <c r="H583" s="1">
        <v>36526</v>
      </c>
      <c r="I583" s="1" t="s">
        <v>1102</v>
      </c>
      <c r="J583" t="s">
        <v>104</v>
      </c>
      <c r="K583" s="2">
        <v>1577.6744169999999</v>
      </c>
      <c r="L583" s="1">
        <v>36577.674417002301</v>
      </c>
    </row>
    <row r="584" spans="1:12" x14ac:dyDescent="0.35">
      <c r="A584" t="s">
        <v>607</v>
      </c>
      <c r="B584" t="s">
        <v>8</v>
      </c>
      <c r="C584" t="s">
        <v>19</v>
      </c>
      <c r="D584" t="s">
        <v>10</v>
      </c>
      <c r="E584" s="3">
        <v>1064094</v>
      </c>
      <c r="F584">
        <v>50450</v>
      </c>
      <c r="G584">
        <v>90</v>
      </c>
      <c r="H584" s="1">
        <v>0</v>
      </c>
      <c r="I584" s="1" t="s">
        <v>1102</v>
      </c>
      <c r="J584" t="s">
        <v>17</v>
      </c>
      <c r="K584" s="2">
        <v>135.89244400000001</v>
      </c>
      <c r="L584" s="1">
        <v>35135.892444004603</v>
      </c>
    </row>
    <row r="585" spans="1:12" x14ac:dyDescent="0.35">
      <c r="A585" t="s">
        <v>608</v>
      </c>
      <c r="B585" t="s">
        <v>1</v>
      </c>
      <c r="C585" t="s">
        <v>13</v>
      </c>
      <c r="D585" t="s">
        <v>22</v>
      </c>
      <c r="E585" s="3">
        <v>686251</v>
      </c>
      <c r="F585">
        <v>54780</v>
      </c>
      <c r="G585">
        <v>88</v>
      </c>
      <c r="H585" s="1">
        <v>36586</v>
      </c>
      <c r="I585" s="1" t="s">
        <v>1102</v>
      </c>
      <c r="J585" t="s">
        <v>11</v>
      </c>
      <c r="K585" s="2">
        <v>135.26124999999999</v>
      </c>
      <c r="L585" s="1">
        <v>35135.261250000003</v>
      </c>
    </row>
    <row r="586" spans="1:12" x14ac:dyDescent="0.35">
      <c r="A586" t="s">
        <v>609</v>
      </c>
      <c r="B586" t="s">
        <v>16</v>
      </c>
      <c r="C586" t="s">
        <v>19</v>
      </c>
      <c r="D586" t="s">
        <v>22</v>
      </c>
      <c r="E586" s="3">
        <v>904898</v>
      </c>
      <c r="F586">
        <v>0</v>
      </c>
      <c r="G586">
        <v>119</v>
      </c>
      <c r="H586" s="1">
        <v>0</v>
      </c>
      <c r="I586" s="1" t="s">
        <v>1102</v>
      </c>
      <c r="J586" t="s">
        <v>66</v>
      </c>
      <c r="K586" s="2">
        <v>571.20000000000005</v>
      </c>
      <c r="L586" s="1">
        <v>35571.199999999997</v>
      </c>
    </row>
    <row r="587" spans="1:12" x14ac:dyDescent="0.35">
      <c r="A587" t="s">
        <v>610</v>
      </c>
      <c r="B587" t="s">
        <v>1</v>
      </c>
      <c r="C587" t="s">
        <v>19</v>
      </c>
      <c r="D587" t="s">
        <v>14</v>
      </c>
      <c r="E587" s="3">
        <v>554803</v>
      </c>
      <c r="F587">
        <v>67798</v>
      </c>
      <c r="G587">
        <v>69</v>
      </c>
      <c r="H587" s="1">
        <v>0</v>
      </c>
      <c r="I587" s="1" t="s">
        <v>1102</v>
      </c>
      <c r="J587" t="s">
        <v>11</v>
      </c>
      <c r="K587" s="2">
        <v>331.2</v>
      </c>
      <c r="L587" s="1">
        <v>35331.199999999997</v>
      </c>
    </row>
    <row r="588" spans="1:12" x14ac:dyDescent="0.35">
      <c r="A588" t="s">
        <v>611</v>
      </c>
      <c r="B588" t="s">
        <v>24</v>
      </c>
      <c r="C588" t="s">
        <v>19</v>
      </c>
      <c r="D588" t="s">
        <v>14</v>
      </c>
      <c r="E588" s="3">
        <v>831268</v>
      </c>
      <c r="F588">
        <v>21442</v>
      </c>
      <c r="G588">
        <v>118</v>
      </c>
      <c r="H588" s="1">
        <v>0</v>
      </c>
      <c r="I588" s="1" t="s">
        <v>1102</v>
      </c>
      <c r="J588" t="s">
        <v>20</v>
      </c>
      <c r="K588" s="2">
        <v>566.4</v>
      </c>
      <c r="L588" s="1">
        <v>35566.400000000001</v>
      </c>
    </row>
    <row r="589" spans="1:12" x14ac:dyDescent="0.35">
      <c r="A589" t="s">
        <v>612</v>
      </c>
      <c r="B589" t="s">
        <v>1</v>
      </c>
      <c r="C589" t="s">
        <v>19</v>
      </c>
      <c r="D589" t="s">
        <v>14</v>
      </c>
      <c r="E589" s="3">
        <v>238998</v>
      </c>
      <c r="F589">
        <v>27615</v>
      </c>
      <c r="G589">
        <v>62</v>
      </c>
      <c r="H589" s="1">
        <v>36526</v>
      </c>
      <c r="I589" s="1" t="s">
        <v>1102</v>
      </c>
      <c r="J589" t="s">
        <v>11</v>
      </c>
      <c r="K589" s="2">
        <v>297.60000000000002</v>
      </c>
      <c r="L589" s="1">
        <v>35297.599999999999</v>
      </c>
    </row>
    <row r="590" spans="1:12" x14ac:dyDescent="0.35">
      <c r="A590" t="s">
        <v>613</v>
      </c>
      <c r="B590" t="s">
        <v>1</v>
      </c>
      <c r="C590" t="s">
        <v>19</v>
      </c>
      <c r="D590" t="s">
        <v>14</v>
      </c>
      <c r="E590" s="3">
        <v>445811</v>
      </c>
      <c r="F590">
        <v>17622</v>
      </c>
      <c r="G590">
        <v>65</v>
      </c>
      <c r="H590" s="1">
        <v>36526</v>
      </c>
      <c r="I590" s="1" t="s">
        <v>1102</v>
      </c>
      <c r="J590" t="s">
        <v>11</v>
      </c>
      <c r="K590" s="2">
        <v>312</v>
      </c>
      <c r="L590" s="1">
        <v>35312</v>
      </c>
    </row>
    <row r="591" spans="1:12" x14ac:dyDescent="0.35">
      <c r="A591" t="s">
        <v>614</v>
      </c>
      <c r="B591" t="s">
        <v>16</v>
      </c>
      <c r="C591" t="s">
        <v>19</v>
      </c>
      <c r="D591" t="s">
        <v>22</v>
      </c>
      <c r="E591" s="3">
        <v>529574</v>
      </c>
      <c r="F591">
        <v>50200</v>
      </c>
      <c r="G591">
        <v>135</v>
      </c>
      <c r="H591" s="1">
        <v>0</v>
      </c>
      <c r="I591" s="1" t="s">
        <v>1102</v>
      </c>
      <c r="J591" t="s">
        <v>66</v>
      </c>
      <c r="K591" s="2">
        <v>637.06345799999997</v>
      </c>
      <c r="L591" s="1">
        <v>35637.063457997698</v>
      </c>
    </row>
    <row r="592" spans="1:12" x14ac:dyDescent="0.35">
      <c r="A592" t="s">
        <v>615</v>
      </c>
      <c r="B592" t="s">
        <v>28</v>
      </c>
      <c r="C592" t="s">
        <v>13</v>
      </c>
      <c r="D592" t="s">
        <v>68</v>
      </c>
      <c r="E592" s="3">
        <v>383961</v>
      </c>
      <c r="F592">
        <v>0</v>
      </c>
      <c r="G592">
        <v>112</v>
      </c>
      <c r="H592" s="1">
        <v>36557</v>
      </c>
      <c r="I592" s="1" t="s">
        <v>1102</v>
      </c>
      <c r="J592" t="s">
        <v>20</v>
      </c>
      <c r="K592" s="2">
        <v>537.6</v>
      </c>
      <c r="L592" s="1">
        <v>35537.599999999999</v>
      </c>
    </row>
    <row r="593" spans="1:12" x14ac:dyDescent="0.35">
      <c r="A593" t="s">
        <v>616</v>
      </c>
      <c r="B593" t="s">
        <v>1</v>
      </c>
      <c r="C593" t="s">
        <v>13</v>
      </c>
      <c r="D593" t="s">
        <v>22</v>
      </c>
      <c r="E593" s="3">
        <v>373150</v>
      </c>
      <c r="F593">
        <v>0</v>
      </c>
      <c r="G593">
        <v>96</v>
      </c>
      <c r="H593" s="1">
        <v>0</v>
      </c>
      <c r="I593" s="1" t="s">
        <v>1102</v>
      </c>
      <c r="J593" t="s">
        <v>11</v>
      </c>
      <c r="K593" s="2">
        <v>460.8</v>
      </c>
      <c r="L593" s="1">
        <v>35460.800000000003</v>
      </c>
    </row>
    <row r="594" spans="1:12" x14ac:dyDescent="0.35">
      <c r="A594" t="s">
        <v>617</v>
      </c>
      <c r="B594" t="s">
        <v>1</v>
      </c>
      <c r="C594" t="s">
        <v>13</v>
      </c>
      <c r="D594" t="s">
        <v>10</v>
      </c>
      <c r="E594" s="3">
        <v>277890</v>
      </c>
      <c r="F594">
        <v>73570</v>
      </c>
      <c r="G594">
        <v>70</v>
      </c>
      <c r="H594" s="1">
        <v>36526</v>
      </c>
      <c r="I594" s="1" t="s">
        <v>1112</v>
      </c>
      <c r="J594" t="s">
        <v>17</v>
      </c>
      <c r="K594" s="2">
        <v>75.936096000000006</v>
      </c>
      <c r="L594" s="1">
        <v>35075.936095995399</v>
      </c>
    </row>
    <row r="595" spans="1:12" x14ac:dyDescent="0.35">
      <c r="A595" t="s">
        <v>618</v>
      </c>
      <c r="B595" t="s">
        <v>24</v>
      </c>
      <c r="C595" t="s">
        <v>13</v>
      </c>
      <c r="D595" t="s">
        <v>22</v>
      </c>
      <c r="E595" s="3">
        <v>401654</v>
      </c>
      <c r="F595">
        <v>0</v>
      </c>
      <c r="G595">
        <v>111</v>
      </c>
      <c r="H595" s="1">
        <v>0</v>
      </c>
      <c r="I595" s="1" t="s">
        <v>1102</v>
      </c>
      <c r="J595" t="s">
        <v>20</v>
      </c>
      <c r="K595" s="2">
        <v>799.2</v>
      </c>
      <c r="L595" s="1">
        <v>35799.199999999997</v>
      </c>
    </row>
    <row r="596" spans="1:12" x14ac:dyDescent="0.35">
      <c r="A596" t="s">
        <v>619</v>
      </c>
      <c r="B596" t="s">
        <v>8</v>
      </c>
      <c r="C596" t="s">
        <v>19</v>
      </c>
      <c r="D596" t="s">
        <v>68</v>
      </c>
      <c r="E596" s="3">
        <v>493095</v>
      </c>
      <c r="F596">
        <v>70412</v>
      </c>
      <c r="G596">
        <v>61</v>
      </c>
      <c r="H596" s="1">
        <v>0</v>
      </c>
      <c r="I596" s="1" t="s">
        <v>1105</v>
      </c>
      <c r="J596" t="s">
        <v>17</v>
      </c>
      <c r="K596" s="2">
        <v>136.29108299999999</v>
      </c>
      <c r="L596" s="1">
        <v>35136.291082997697</v>
      </c>
    </row>
    <row r="597" spans="1:12" x14ac:dyDescent="0.35">
      <c r="A597" t="s">
        <v>620</v>
      </c>
      <c r="B597" t="s">
        <v>16</v>
      </c>
      <c r="C597" t="s">
        <v>19</v>
      </c>
      <c r="D597" t="s">
        <v>68</v>
      </c>
      <c r="E597" s="3">
        <v>249132</v>
      </c>
      <c r="F597">
        <v>36631</v>
      </c>
      <c r="G597">
        <v>62</v>
      </c>
      <c r="H597" s="1">
        <v>0</v>
      </c>
      <c r="I597" s="1" t="s">
        <v>1102</v>
      </c>
      <c r="J597" t="s">
        <v>11</v>
      </c>
      <c r="K597" s="2">
        <v>67.530904000000007</v>
      </c>
      <c r="L597" s="1">
        <v>35067.530904004598</v>
      </c>
    </row>
    <row r="598" spans="1:12" x14ac:dyDescent="0.35">
      <c r="A598" t="s">
        <v>621</v>
      </c>
      <c r="B598" t="s">
        <v>24</v>
      </c>
      <c r="C598" t="s">
        <v>13</v>
      </c>
      <c r="D598" t="s">
        <v>26</v>
      </c>
      <c r="E598" s="3">
        <v>290888</v>
      </c>
      <c r="F598">
        <v>35895</v>
      </c>
      <c r="G598">
        <v>73</v>
      </c>
      <c r="H598" s="1">
        <v>0</v>
      </c>
      <c r="I598" s="1" t="s">
        <v>1102</v>
      </c>
      <c r="J598" t="s">
        <v>11</v>
      </c>
      <c r="K598" s="2">
        <v>312.92125600000003</v>
      </c>
      <c r="L598" s="1">
        <v>35312.921255995403</v>
      </c>
    </row>
    <row r="599" spans="1:12" x14ac:dyDescent="0.35">
      <c r="A599" t="s">
        <v>622</v>
      </c>
      <c r="B599" t="s">
        <v>28</v>
      </c>
      <c r="C599" t="s">
        <v>13</v>
      </c>
      <c r="D599" t="s">
        <v>26</v>
      </c>
      <c r="E599" s="3">
        <v>428295</v>
      </c>
      <c r="F599">
        <v>40864</v>
      </c>
      <c r="G599">
        <v>109</v>
      </c>
      <c r="H599" s="1">
        <v>36526</v>
      </c>
      <c r="I599" s="1" t="s">
        <v>1102</v>
      </c>
      <c r="J599" t="s">
        <v>20</v>
      </c>
      <c r="K599" s="2">
        <v>166.937747</v>
      </c>
      <c r="L599" s="1">
        <v>35166.937747002303</v>
      </c>
    </row>
    <row r="600" spans="1:12" x14ac:dyDescent="0.35">
      <c r="A600" t="s">
        <v>623</v>
      </c>
      <c r="B600" t="s">
        <v>24</v>
      </c>
      <c r="C600" t="s">
        <v>19</v>
      </c>
      <c r="D600" t="s">
        <v>26</v>
      </c>
      <c r="E600" s="3">
        <v>834162</v>
      </c>
      <c r="F600">
        <v>0</v>
      </c>
      <c r="G600">
        <v>118</v>
      </c>
      <c r="H600" s="1">
        <v>0</v>
      </c>
      <c r="I600" s="1" t="s">
        <v>1102</v>
      </c>
      <c r="J600" t="s">
        <v>11</v>
      </c>
      <c r="K600" s="2">
        <v>566.4</v>
      </c>
      <c r="L600" s="1">
        <v>35566.400000000001</v>
      </c>
    </row>
    <row r="601" spans="1:12" x14ac:dyDescent="0.35">
      <c r="A601" t="s">
        <v>624</v>
      </c>
      <c r="B601" t="s">
        <v>28</v>
      </c>
      <c r="C601" t="s">
        <v>13</v>
      </c>
      <c r="D601" t="s">
        <v>10</v>
      </c>
      <c r="E601" s="3">
        <v>509078</v>
      </c>
      <c r="F601">
        <v>93018</v>
      </c>
      <c r="G601">
        <v>63</v>
      </c>
      <c r="H601" s="1">
        <v>0</v>
      </c>
      <c r="I601" s="1" t="s">
        <v>1102</v>
      </c>
      <c r="J601" t="s">
        <v>11</v>
      </c>
      <c r="K601" s="2">
        <v>135.382194</v>
      </c>
      <c r="L601" s="1">
        <v>35135.382194004596</v>
      </c>
    </row>
    <row r="602" spans="1:12" x14ac:dyDescent="0.35">
      <c r="A602" t="s">
        <v>625</v>
      </c>
      <c r="B602" t="s">
        <v>24</v>
      </c>
      <c r="C602" t="s">
        <v>19</v>
      </c>
      <c r="D602" t="s">
        <v>14</v>
      </c>
      <c r="E602" s="3">
        <v>736619</v>
      </c>
      <c r="F602">
        <v>70014</v>
      </c>
      <c r="G602">
        <v>62</v>
      </c>
      <c r="H602" s="1">
        <v>0</v>
      </c>
      <c r="I602" s="1" t="s">
        <v>1105</v>
      </c>
      <c r="J602" t="s">
        <v>11</v>
      </c>
      <c r="K602" s="2">
        <v>17.742954000000001</v>
      </c>
      <c r="L602" s="1">
        <v>35017.7429540046</v>
      </c>
    </row>
    <row r="603" spans="1:12" x14ac:dyDescent="0.35">
      <c r="A603" t="s">
        <v>626</v>
      </c>
      <c r="B603" t="s">
        <v>24</v>
      </c>
      <c r="C603" t="s">
        <v>13</v>
      </c>
      <c r="D603" t="s">
        <v>26</v>
      </c>
      <c r="E603" s="3">
        <v>243688</v>
      </c>
      <c r="F603">
        <v>48875</v>
      </c>
      <c r="G603">
        <v>61</v>
      </c>
      <c r="H603" s="1">
        <v>0</v>
      </c>
      <c r="I603" s="1" t="s">
        <v>1102</v>
      </c>
      <c r="J603" t="s">
        <v>17</v>
      </c>
      <c r="K603" s="2">
        <v>1.8383670000000001</v>
      </c>
      <c r="L603" s="1">
        <v>35001.838367002303</v>
      </c>
    </row>
    <row r="604" spans="1:12" x14ac:dyDescent="0.35">
      <c r="A604" t="s">
        <v>627</v>
      </c>
      <c r="B604" t="s">
        <v>1</v>
      </c>
      <c r="C604" t="s">
        <v>19</v>
      </c>
      <c r="D604" t="s">
        <v>14</v>
      </c>
      <c r="E604" s="3">
        <v>885269</v>
      </c>
      <c r="F604">
        <v>67969</v>
      </c>
      <c r="G604">
        <v>74</v>
      </c>
      <c r="H604" s="1">
        <v>0</v>
      </c>
      <c r="I604" s="1" t="s">
        <v>1102</v>
      </c>
      <c r="J604" t="s">
        <v>11</v>
      </c>
      <c r="K604" s="2">
        <v>197.77600899999999</v>
      </c>
      <c r="L604" s="1">
        <v>35197.776009004599</v>
      </c>
    </row>
    <row r="605" spans="1:12" x14ac:dyDescent="0.35">
      <c r="A605" t="s">
        <v>628</v>
      </c>
      <c r="B605" t="s">
        <v>24</v>
      </c>
      <c r="C605" t="s">
        <v>13</v>
      </c>
      <c r="D605" t="s">
        <v>22</v>
      </c>
      <c r="E605" s="3">
        <v>2387548</v>
      </c>
      <c r="F605">
        <v>0</v>
      </c>
      <c r="G605">
        <v>108</v>
      </c>
      <c r="H605" s="1">
        <v>0</v>
      </c>
      <c r="I605" s="1" t="s">
        <v>1105</v>
      </c>
      <c r="J605" t="s">
        <v>20</v>
      </c>
      <c r="K605" s="2">
        <v>612.102262</v>
      </c>
      <c r="L605" s="1">
        <v>35612.1022620023</v>
      </c>
    </row>
    <row r="606" spans="1:12" x14ac:dyDescent="0.35">
      <c r="A606" t="s">
        <v>629</v>
      </c>
      <c r="B606" t="s">
        <v>24</v>
      </c>
      <c r="C606" t="s">
        <v>13</v>
      </c>
      <c r="D606" t="s">
        <v>68</v>
      </c>
      <c r="E606" s="3">
        <v>560050</v>
      </c>
      <c r="F606">
        <v>68665</v>
      </c>
      <c r="G606">
        <v>69</v>
      </c>
      <c r="H606" s="1">
        <v>0</v>
      </c>
      <c r="I606" s="1" t="s">
        <v>1102</v>
      </c>
      <c r="J606" t="s">
        <v>17</v>
      </c>
      <c r="K606" s="2">
        <v>331.2</v>
      </c>
      <c r="L606" s="1">
        <v>35331.199999999997</v>
      </c>
    </row>
    <row r="607" spans="1:12" x14ac:dyDescent="0.35">
      <c r="A607" t="s">
        <v>630</v>
      </c>
      <c r="B607" t="s">
        <v>1</v>
      </c>
      <c r="C607" t="s">
        <v>19</v>
      </c>
      <c r="D607" t="s">
        <v>26</v>
      </c>
      <c r="E607" s="3">
        <v>463655</v>
      </c>
      <c r="F607">
        <v>26802</v>
      </c>
      <c r="G607">
        <v>66</v>
      </c>
      <c r="H607" s="1">
        <v>36526</v>
      </c>
      <c r="I607" s="1" t="s">
        <v>1105</v>
      </c>
      <c r="J607" t="s">
        <v>17</v>
      </c>
      <c r="K607" s="2">
        <v>316.8</v>
      </c>
      <c r="L607" s="1">
        <v>35316.800000000003</v>
      </c>
    </row>
    <row r="608" spans="1:12" x14ac:dyDescent="0.35">
      <c r="A608" t="s">
        <v>631</v>
      </c>
      <c r="B608" t="s">
        <v>16</v>
      </c>
      <c r="C608" t="s">
        <v>19</v>
      </c>
      <c r="D608" t="s">
        <v>22</v>
      </c>
      <c r="E608" s="3">
        <v>757335</v>
      </c>
      <c r="F608">
        <v>0</v>
      </c>
      <c r="G608">
        <v>110</v>
      </c>
      <c r="H608" s="1">
        <v>0</v>
      </c>
      <c r="I608" s="1" t="s">
        <v>1105</v>
      </c>
      <c r="J608" t="s">
        <v>11</v>
      </c>
      <c r="K608" s="2">
        <v>1193.0361539999999</v>
      </c>
      <c r="L608" s="1">
        <v>36193.0361540046</v>
      </c>
    </row>
    <row r="609" spans="1:12" x14ac:dyDescent="0.35">
      <c r="A609" t="s">
        <v>632</v>
      </c>
      <c r="B609" t="s">
        <v>1</v>
      </c>
      <c r="C609" t="s">
        <v>19</v>
      </c>
      <c r="D609" t="s">
        <v>26</v>
      </c>
      <c r="E609" s="3">
        <v>1469664</v>
      </c>
      <c r="F609">
        <v>45345</v>
      </c>
      <c r="G609">
        <v>125</v>
      </c>
      <c r="H609" s="1">
        <v>0</v>
      </c>
      <c r="I609" s="1" t="s">
        <v>1102</v>
      </c>
      <c r="J609" t="s">
        <v>20</v>
      </c>
      <c r="K609" s="2">
        <v>600</v>
      </c>
      <c r="L609" s="1">
        <v>35600</v>
      </c>
    </row>
    <row r="610" spans="1:12" x14ac:dyDescent="0.35">
      <c r="A610" t="s">
        <v>633</v>
      </c>
      <c r="B610" t="s">
        <v>8</v>
      </c>
      <c r="C610" t="s">
        <v>19</v>
      </c>
      <c r="D610" t="s">
        <v>14</v>
      </c>
      <c r="E610" s="3">
        <v>897214</v>
      </c>
      <c r="F610">
        <v>89689</v>
      </c>
      <c r="G610">
        <v>74</v>
      </c>
      <c r="H610" s="1">
        <v>0</v>
      </c>
      <c r="I610" s="1" t="s">
        <v>1102</v>
      </c>
      <c r="J610" t="s">
        <v>11</v>
      </c>
      <c r="K610" s="2">
        <v>136.82953699999999</v>
      </c>
      <c r="L610" s="1">
        <v>35136.829537002297</v>
      </c>
    </row>
    <row r="611" spans="1:12" x14ac:dyDescent="0.35">
      <c r="A611" t="s">
        <v>634</v>
      </c>
      <c r="B611" t="s">
        <v>1</v>
      </c>
      <c r="C611" t="s">
        <v>13</v>
      </c>
      <c r="D611" t="s">
        <v>14</v>
      </c>
      <c r="E611" s="3">
        <v>772484</v>
      </c>
      <c r="F611">
        <v>32051</v>
      </c>
      <c r="G611">
        <v>193</v>
      </c>
      <c r="H611" s="1">
        <v>36526</v>
      </c>
      <c r="I611" s="1" t="s">
        <v>1102</v>
      </c>
      <c r="J611" t="s">
        <v>20</v>
      </c>
      <c r="K611" s="2">
        <v>926.4</v>
      </c>
      <c r="L611" s="1">
        <v>35926.400000000001</v>
      </c>
    </row>
    <row r="612" spans="1:12" x14ac:dyDescent="0.35">
      <c r="A612" t="s">
        <v>635</v>
      </c>
      <c r="B612" t="s">
        <v>24</v>
      </c>
      <c r="C612" t="s">
        <v>19</v>
      </c>
      <c r="D612" t="s">
        <v>10</v>
      </c>
      <c r="E612" s="3">
        <v>594667</v>
      </c>
      <c r="F612">
        <v>81139</v>
      </c>
      <c r="G612">
        <v>74</v>
      </c>
      <c r="H612" s="1">
        <v>0</v>
      </c>
      <c r="I612" s="1" t="s">
        <v>1112</v>
      </c>
      <c r="J612" t="s">
        <v>11</v>
      </c>
      <c r="K612" s="2">
        <v>392.63639999999998</v>
      </c>
      <c r="L612" s="1">
        <v>35392.636400000003</v>
      </c>
    </row>
    <row r="613" spans="1:12" x14ac:dyDescent="0.35">
      <c r="A613" t="s">
        <v>636</v>
      </c>
      <c r="B613" t="s">
        <v>24</v>
      </c>
      <c r="C613" t="s">
        <v>13</v>
      </c>
      <c r="D613" t="s">
        <v>10</v>
      </c>
      <c r="E613" s="3">
        <v>800055</v>
      </c>
      <c r="F613">
        <v>63834</v>
      </c>
      <c r="G613">
        <v>100</v>
      </c>
      <c r="H613" s="1">
        <v>36526</v>
      </c>
      <c r="I613" s="1" t="s">
        <v>1102</v>
      </c>
      <c r="J613" t="s">
        <v>66</v>
      </c>
      <c r="K613" s="2">
        <v>215.22647599999999</v>
      </c>
      <c r="L613" s="1">
        <v>35215.226475995398</v>
      </c>
    </row>
    <row r="614" spans="1:12" x14ac:dyDescent="0.35">
      <c r="A614" t="s">
        <v>637</v>
      </c>
      <c r="B614" t="s">
        <v>28</v>
      </c>
      <c r="C614" t="s">
        <v>19</v>
      </c>
      <c r="D614" t="s">
        <v>14</v>
      </c>
      <c r="E614" s="3">
        <v>645756</v>
      </c>
      <c r="F614">
        <v>37548</v>
      </c>
      <c r="G614">
        <v>81</v>
      </c>
      <c r="H614" s="1">
        <v>0</v>
      </c>
      <c r="I614" s="1" t="s">
        <v>1112</v>
      </c>
      <c r="J614" t="s">
        <v>11</v>
      </c>
      <c r="K614" s="2">
        <v>160.59866199999999</v>
      </c>
      <c r="L614" s="1">
        <v>35160.598662002303</v>
      </c>
    </row>
    <row r="615" spans="1:12" x14ac:dyDescent="0.35">
      <c r="A615" t="s">
        <v>638</v>
      </c>
      <c r="B615" t="s">
        <v>28</v>
      </c>
      <c r="C615" t="s">
        <v>13</v>
      </c>
      <c r="D615" t="s">
        <v>22</v>
      </c>
      <c r="E615" s="3">
        <v>728144</v>
      </c>
      <c r="F615">
        <v>0</v>
      </c>
      <c r="G615">
        <v>69</v>
      </c>
      <c r="H615" s="1">
        <v>36586</v>
      </c>
      <c r="I615" s="1" t="s">
        <v>1102</v>
      </c>
      <c r="J615" t="s">
        <v>11</v>
      </c>
      <c r="K615" s="2">
        <v>371.80302899999998</v>
      </c>
      <c r="L615" s="1">
        <v>35371.803029004601</v>
      </c>
    </row>
    <row r="616" spans="1:12" x14ac:dyDescent="0.35">
      <c r="A616" t="s">
        <v>639</v>
      </c>
      <c r="B616" t="s">
        <v>1</v>
      </c>
      <c r="C616" t="s">
        <v>19</v>
      </c>
      <c r="D616" t="s">
        <v>22</v>
      </c>
      <c r="E616" s="3">
        <v>259244</v>
      </c>
      <c r="F616">
        <v>72421</v>
      </c>
      <c r="G616">
        <v>65</v>
      </c>
      <c r="H616" s="1">
        <v>0</v>
      </c>
      <c r="I616" s="1" t="s">
        <v>1102</v>
      </c>
      <c r="J616" t="s">
        <v>11</v>
      </c>
      <c r="K616" s="2">
        <v>312</v>
      </c>
      <c r="L616" s="1">
        <v>35312</v>
      </c>
    </row>
    <row r="617" spans="1:12" x14ac:dyDescent="0.35">
      <c r="A617" t="s">
        <v>640</v>
      </c>
      <c r="B617" t="s">
        <v>16</v>
      </c>
      <c r="C617" t="s">
        <v>19</v>
      </c>
      <c r="D617" t="s">
        <v>10</v>
      </c>
      <c r="E617" s="3">
        <v>467842</v>
      </c>
      <c r="F617">
        <v>83102</v>
      </c>
      <c r="G617">
        <v>116</v>
      </c>
      <c r="H617" s="1">
        <v>0</v>
      </c>
      <c r="I617" s="1" t="s">
        <v>1105</v>
      </c>
      <c r="J617" t="s">
        <v>11</v>
      </c>
      <c r="K617" s="2">
        <v>443.67039899999997</v>
      </c>
      <c r="L617" s="1">
        <v>35443.670399004601</v>
      </c>
    </row>
    <row r="618" spans="1:12" x14ac:dyDescent="0.35">
      <c r="A618" t="s">
        <v>641</v>
      </c>
      <c r="B618" t="s">
        <v>24</v>
      </c>
      <c r="C618" t="s">
        <v>19</v>
      </c>
      <c r="D618" t="s">
        <v>26</v>
      </c>
      <c r="E618" s="3">
        <v>1386993</v>
      </c>
      <c r="F618">
        <v>28432</v>
      </c>
      <c r="G618">
        <v>118</v>
      </c>
      <c r="H618" s="1">
        <v>0</v>
      </c>
      <c r="I618" s="1" t="s">
        <v>1102</v>
      </c>
      <c r="J618" t="s">
        <v>20</v>
      </c>
      <c r="K618" s="2">
        <v>612.30058099999997</v>
      </c>
      <c r="L618" s="1">
        <v>35612.300580995397</v>
      </c>
    </row>
    <row r="619" spans="1:12" x14ac:dyDescent="0.35">
      <c r="A619" t="s">
        <v>642</v>
      </c>
      <c r="B619" t="s">
        <v>16</v>
      </c>
      <c r="C619" t="s">
        <v>13</v>
      </c>
      <c r="D619" t="s">
        <v>10</v>
      </c>
      <c r="E619" s="3">
        <v>871778</v>
      </c>
      <c r="F619">
        <v>83707</v>
      </c>
      <c r="G619">
        <v>108</v>
      </c>
      <c r="H619" s="1">
        <v>0</v>
      </c>
      <c r="I619" s="1" t="s">
        <v>1105</v>
      </c>
      <c r="J619" t="s">
        <v>11</v>
      </c>
      <c r="K619" s="2">
        <v>290.391526</v>
      </c>
      <c r="L619" s="1">
        <v>35290.391525995401</v>
      </c>
    </row>
    <row r="620" spans="1:12" x14ac:dyDescent="0.35">
      <c r="A620" t="s">
        <v>643</v>
      </c>
      <c r="B620" t="s">
        <v>1</v>
      </c>
      <c r="C620" t="s">
        <v>13</v>
      </c>
      <c r="D620" t="s">
        <v>26</v>
      </c>
      <c r="E620" s="3">
        <v>523399</v>
      </c>
      <c r="F620">
        <v>63259</v>
      </c>
      <c r="G620">
        <v>65</v>
      </c>
      <c r="H620" s="1">
        <v>0</v>
      </c>
      <c r="I620" s="1" t="s">
        <v>1105</v>
      </c>
      <c r="J620" t="s">
        <v>11</v>
      </c>
      <c r="K620" s="2">
        <v>316.79533700000002</v>
      </c>
      <c r="L620" s="1">
        <v>35316.795337002302</v>
      </c>
    </row>
    <row r="621" spans="1:12" x14ac:dyDescent="0.35">
      <c r="A621" t="s">
        <v>644</v>
      </c>
      <c r="B621" t="s">
        <v>16</v>
      </c>
      <c r="C621" t="s">
        <v>13</v>
      </c>
      <c r="D621" t="s">
        <v>22</v>
      </c>
      <c r="E621" s="3">
        <v>476419</v>
      </c>
      <c r="F621">
        <v>0</v>
      </c>
      <c r="G621">
        <v>67</v>
      </c>
      <c r="H621" s="1">
        <v>0</v>
      </c>
      <c r="I621" s="1" t="s">
        <v>1102</v>
      </c>
      <c r="J621" t="s">
        <v>11</v>
      </c>
      <c r="K621" s="2">
        <v>405.52793700000001</v>
      </c>
      <c r="L621" s="1">
        <v>35405.527937002298</v>
      </c>
    </row>
    <row r="622" spans="1:12" x14ac:dyDescent="0.35">
      <c r="A622" t="s">
        <v>645</v>
      </c>
      <c r="B622" t="s">
        <v>24</v>
      </c>
      <c r="C622" t="s">
        <v>13</v>
      </c>
      <c r="D622" t="s">
        <v>26</v>
      </c>
      <c r="E622" s="3">
        <v>247247</v>
      </c>
      <c r="F622">
        <v>63860</v>
      </c>
      <c r="G622">
        <v>62</v>
      </c>
      <c r="H622" s="1">
        <v>0</v>
      </c>
      <c r="I622" s="1" t="s">
        <v>1102</v>
      </c>
      <c r="J622" t="s">
        <v>11</v>
      </c>
      <c r="K622" s="2">
        <v>208.59824599999999</v>
      </c>
      <c r="L622" s="1">
        <v>35208.598245995403</v>
      </c>
    </row>
    <row r="623" spans="1:12" x14ac:dyDescent="0.35">
      <c r="A623" t="s">
        <v>646</v>
      </c>
      <c r="B623" t="s">
        <v>8</v>
      </c>
      <c r="C623" t="s">
        <v>19</v>
      </c>
      <c r="D623" t="s">
        <v>14</v>
      </c>
      <c r="E623" s="3">
        <v>281369</v>
      </c>
      <c r="F623">
        <v>43836</v>
      </c>
      <c r="G623">
        <v>73</v>
      </c>
      <c r="H623" s="1">
        <v>0</v>
      </c>
      <c r="I623" s="1" t="s">
        <v>1102</v>
      </c>
      <c r="J623" t="s">
        <v>11</v>
      </c>
      <c r="K623" s="2">
        <v>138.13087899999999</v>
      </c>
      <c r="L623" s="1">
        <v>35138.130879004602</v>
      </c>
    </row>
    <row r="624" spans="1:12" x14ac:dyDescent="0.35">
      <c r="A624" t="s">
        <v>647</v>
      </c>
      <c r="B624" t="s">
        <v>1</v>
      </c>
      <c r="C624" t="s">
        <v>13</v>
      </c>
      <c r="D624" t="s">
        <v>26</v>
      </c>
      <c r="E624" s="3">
        <v>550506</v>
      </c>
      <c r="F624">
        <v>86132</v>
      </c>
      <c r="G624">
        <v>68</v>
      </c>
      <c r="H624" s="1">
        <v>0</v>
      </c>
      <c r="I624" s="1" t="s">
        <v>1102</v>
      </c>
      <c r="J624" t="s">
        <v>17</v>
      </c>
      <c r="K624" s="2">
        <v>301.437365</v>
      </c>
      <c r="L624" s="1">
        <v>35301.437364999998</v>
      </c>
    </row>
    <row r="625" spans="1:12" x14ac:dyDescent="0.35">
      <c r="A625" t="s">
        <v>648</v>
      </c>
      <c r="B625" t="s">
        <v>24</v>
      </c>
      <c r="C625" t="s">
        <v>13</v>
      </c>
      <c r="D625" t="s">
        <v>14</v>
      </c>
      <c r="E625" s="3">
        <v>260621</v>
      </c>
      <c r="F625">
        <v>28519</v>
      </c>
      <c r="G625">
        <v>66</v>
      </c>
      <c r="H625" s="1">
        <v>0</v>
      </c>
      <c r="I625" s="1" t="s">
        <v>1102</v>
      </c>
      <c r="J625" t="s">
        <v>17</v>
      </c>
      <c r="K625" s="2">
        <v>456.47311500000001</v>
      </c>
      <c r="L625" s="1">
        <v>35456.473115000001</v>
      </c>
    </row>
    <row r="626" spans="1:12" x14ac:dyDescent="0.35">
      <c r="A626" t="s">
        <v>649</v>
      </c>
      <c r="B626" t="s">
        <v>28</v>
      </c>
      <c r="C626" t="s">
        <v>13</v>
      </c>
      <c r="D626" t="s">
        <v>22</v>
      </c>
      <c r="E626" s="3">
        <v>1048194</v>
      </c>
      <c r="F626">
        <v>39102</v>
      </c>
      <c r="G626">
        <v>88</v>
      </c>
      <c r="H626" s="1">
        <v>0</v>
      </c>
      <c r="I626" s="1" t="s">
        <v>1102</v>
      </c>
      <c r="J626" t="s">
        <v>11</v>
      </c>
      <c r="K626" s="2">
        <v>152.338562</v>
      </c>
      <c r="L626" s="1">
        <v>35152.338562002296</v>
      </c>
    </row>
    <row r="627" spans="1:12" x14ac:dyDescent="0.35">
      <c r="A627" t="s">
        <v>650</v>
      </c>
      <c r="B627" t="s">
        <v>1</v>
      </c>
      <c r="C627" t="s">
        <v>13</v>
      </c>
      <c r="D627" t="s">
        <v>14</v>
      </c>
      <c r="E627" s="3">
        <v>325677</v>
      </c>
      <c r="F627">
        <v>0</v>
      </c>
      <c r="G627">
        <v>89</v>
      </c>
      <c r="H627" s="1">
        <v>0</v>
      </c>
      <c r="I627" s="1" t="s">
        <v>1102</v>
      </c>
      <c r="J627" t="s">
        <v>11</v>
      </c>
      <c r="K627" s="2">
        <v>491.75536799999998</v>
      </c>
      <c r="L627" s="1">
        <v>35491.755367997699</v>
      </c>
    </row>
    <row r="628" spans="1:12" x14ac:dyDescent="0.35">
      <c r="A628" t="s">
        <v>651</v>
      </c>
      <c r="B628" t="s">
        <v>1</v>
      </c>
      <c r="C628" t="s">
        <v>13</v>
      </c>
      <c r="D628" t="s">
        <v>26</v>
      </c>
      <c r="E628" s="3">
        <v>3047578</v>
      </c>
      <c r="F628">
        <v>97298</v>
      </c>
      <c r="G628">
        <v>128</v>
      </c>
      <c r="H628" s="1">
        <v>0</v>
      </c>
      <c r="I628" s="1" t="s">
        <v>1102</v>
      </c>
      <c r="J628" t="s">
        <v>66</v>
      </c>
      <c r="K628" s="2">
        <v>48.517439000000003</v>
      </c>
      <c r="L628" s="1">
        <v>35048.517439004601</v>
      </c>
    </row>
    <row r="629" spans="1:12" x14ac:dyDescent="0.35">
      <c r="A629" t="s">
        <v>652</v>
      </c>
      <c r="B629" t="s">
        <v>16</v>
      </c>
      <c r="C629" t="s">
        <v>19</v>
      </c>
      <c r="D629" t="s">
        <v>22</v>
      </c>
      <c r="E629" s="3">
        <v>636490</v>
      </c>
      <c r="F629">
        <v>41986</v>
      </c>
      <c r="G629">
        <v>84</v>
      </c>
      <c r="H629" s="1">
        <v>36557</v>
      </c>
      <c r="I629" s="1" t="s">
        <v>1102</v>
      </c>
      <c r="J629" t="s">
        <v>17</v>
      </c>
      <c r="K629" s="2">
        <v>430.37504899999999</v>
      </c>
      <c r="L629" s="1">
        <v>35430.3750490046</v>
      </c>
    </row>
    <row r="630" spans="1:12" x14ac:dyDescent="0.35">
      <c r="A630" t="s">
        <v>653</v>
      </c>
      <c r="B630" t="s">
        <v>28</v>
      </c>
      <c r="C630" t="s">
        <v>19</v>
      </c>
      <c r="D630" t="s">
        <v>22</v>
      </c>
      <c r="E630" s="3">
        <v>946851</v>
      </c>
      <c r="F630">
        <v>0</v>
      </c>
      <c r="G630">
        <v>88</v>
      </c>
      <c r="H630" s="1">
        <v>0</v>
      </c>
      <c r="I630" s="1" t="s">
        <v>1102</v>
      </c>
      <c r="J630" t="s">
        <v>17</v>
      </c>
      <c r="K630" s="2">
        <v>633.6</v>
      </c>
      <c r="L630" s="1">
        <v>35633.599999999999</v>
      </c>
    </row>
    <row r="631" spans="1:12" x14ac:dyDescent="0.35">
      <c r="A631" t="s">
        <v>654</v>
      </c>
      <c r="B631" t="s">
        <v>24</v>
      </c>
      <c r="C631" t="s">
        <v>13</v>
      </c>
      <c r="D631" t="s">
        <v>26</v>
      </c>
      <c r="E631" s="3">
        <v>563145</v>
      </c>
      <c r="F631">
        <v>17291</v>
      </c>
      <c r="G631">
        <v>73</v>
      </c>
      <c r="H631" s="1">
        <v>0</v>
      </c>
      <c r="I631" s="1" t="s">
        <v>1102</v>
      </c>
      <c r="J631" t="s">
        <v>11</v>
      </c>
      <c r="K631" s="2">
        <v>350.4</v>
      </c>
      <c r="L631" s="1">
        <v>35350.400000000001</v>
      </c>
    </row>
    <row r="632" spans="1:12" x14ac:dyDescent="0.35">
      <c r="A632" t="s">
        <v>655</v>
      </c>
      <c r="B632" t="s">
        <v>1</v>
      </c>
      <c r="C632" t="s">
        <v>19</v>
      </c>
      <c r="D632" t="s">
        <v>14</v>
      </c>
      <c r="E632" s="3">
        <v>778100</v>
      </c>
      <c r="F632">
        <v>0</v>
      </c>
      <c r="G632">
        <v>74</v>
      </c>
      <c r="H632" s="1">
        <v>0</v>
      </c>
      <c r="I632" s="1" t="s">
        <v>1102</v>
      </c>
      <c r="J632" t="s">
        <v>11</v>
      </c>
      <c r="K632" s="2">
        <v>246.48912300000001</v>
      </c>
      <c r="L632" s="1">
        <v>35246.4891229977</v>
      </c>
    </row>
    <row r="633" spans="1:12" x14ac:dyDescent="0.35">
      <c r="A633" t="s">
        <v>656</v>
      </c>
      <c r="B633" t="s">
        <v>1</v>
      </c>
      <c r="C633" t="s">
        <v>19</v>
      </c>
      <c r="D633" t="s">
        <v>26</v>
      </c>
      <c r="E633" s="3">
        <v>981653</v>
      </c>
      <c r="F633">
        <v>37256</v>
      </c>
      <c r="G633">
        <v>62</v>
      </c>
      <c r="H633" s="1">
        <v>0</v>
      </c>
      <c r="I633" s="1" t="s">
        <v>1102</v>
      </c>
      <c r="J633" t="s">
        <v>11</v>
      </c>
      <c r="K633" s="2">
        <v>128.969729</v>
      </c>
      <c r="L633" s="1">
        <v>35128.969729004602</v>
      </c>
    </row>
    <row r="634" spans="1:12" x14ac:dyDescent="0.35">
      <c r="A634" t="s">
        <v>657</v>
      </c>
      <c r="B634" t="s">
        <v>24</v>
      </c>
      <c r="C634" t="s">
        <v>19</v>
      </c>
      <c r="D634" t="s">
        <v>22</v>
      </c>
      <c r="E634" s="3">
        <v>751913</v>
      </c>
      <c r="F634">
        <v>96306</v>
      </c>
      <c r="G634">
        <v>95</v>
      </c>
      <c r="H634" s="1">
        <v>36526</v>
      </c>
      <c r="I634" s="1" t="s">
        <v>1105</v>
      </c>
      <c r="J634" t="s">
        <v>11</v>
      </c>
      <c r="K634" s="2">
        <v>185.35535300000001</v>
      </c>
      <c r="L634" s="1">
        <v>35185.3553529977</v>
      </c>
    </row>
    <row r="635" spans="1:12" x14ac:dyDescent="0.35">
      <c r="A635" t="s">
        <v>658</v>
      </c>
      <c r="B635" t="s">
        <v>1</v>
      </c>
      <c r="C635" t="s">
        <v>13</v>
      </c>
      <c r="D635" t="s">
        <v>14</v>
      </c>
      <c r="E635" s="3">
        <v>1017972</v>
      </c>
      <c r="F635">
        <v>14290</v>
      </c>
      <c r="G635">
        <v>271</v>
      </c>
      <c r="H635" s="1">
        <v>0</v>
      </c>
      <c r="I635" s="1" t="s">
        <v>1102</v>
      </c>
      <c r="J635" t="s">
        <v>53</v>
      </c>
      <c r="K635" s="2">
        <v>1300.8</v>
      </c>
      <c r="L635" s="1">
        <v>36300.800000000003</v>
      </c>
    </row>
    <row r="636" spans="1:12" x14ac:dyDescent="0.35">
      <c r="A636" t="s">
        <v>659</v>
      </c>
      <c r="B636" t="s">
        <v>1</v>
      </c>
      <c r="C636" t="s">
        <v>13</v>
      </c>
      <c r="D636" t="s">
        <v>26</v>
      </c>
      <c r="E636" s="3">
        <v>277284</v>
      </c>
      <c r="F636">
        <v>37038</v>
      </c>
      <c r="G636">
        <v>71</v>
      </c>
      <c r="H636" s="1">
        <v>36526</v>
      </c>
      <c r="I636" s="1" t="s">
        <v>1105</v>
      </c>
      <c r="J636" t="s">
        <v>11</v>
      </c>
      <c r="K636" s="2">
        <v>9.0713050000000006</v>
      </c>
      <c r="L636" s="1">
        <v>35009.071304999998</v>
      </c>
    </row>
    <row r="637" spans="1:12" x14ac:dyDescent="0.35">
      <c r="A637" t="s">
        <v>660</v>
      </c>
      <c r="B637" t="s">
        <v>24</v>
      </c>
      <c r="C637" t="s">
        <v>19</v>
      </c>
      <c r="D637" t="s">
        <v>26</v>
      </c>
      <c r="E637" s="3">
        <v>403750</v>
      </c>
      <c r="F637">
        <v>90760</v>
      </c>
      <c r="G637">
        <v>103</v>
      </c>
      <c r="H637" s="1">
        <v>36557</v>
      </c>
      <c r="I637" s="1" t="s">
        <v>1112</v>
      </c>
      <c r="J637" t="s">
        <v>20</v>
      </c>
      <c r="K637" s="2">
        <v>133.47531499999999</v>
      </c>
      <c r="L637" s="1">
        <v>35133.475315000003</v>
      </c>
    </row>
    <row r="638" spans="1:12" x14ac:dyDescent="0.35">
      <c r="A638" t="s">
        <v>661</v>
      </c>
      <c r="B638" t="s">
        <v>8</v>
      </c>
      <c r="C638" t="s">
        <v>19</v>
      </c>
      <c r="D638" t="s">
        <v>10</v>
      </c>
      <c r="E638" s="3">
        <v>419197</v>
      </c>
      <c r="F638">
        <v>77048</v>
      </c>
      <c r="G638">
        <v>103</v>
      </c>
      <c r="H638" s="1">
        <v>0</v>
      </c>
      <c r="I638" s="1" t="s">
        <v>1102</v>
      </c>
      <c r="J638" t="s">
        <v>20</v>
      </c>
      <c r="K638" s="2">
        <v>141.199465</v>
      </c>
      <c r="L638" s="1">
        <v>35141.199464999998</v>
      </c>
    </row>
    <row r="639" spans="1:12" x14ac:dyDescent="0.35">
      <c r="A639" t="s">
        <v>662</v>
      </c>
      <c r="B639" t="s">
        <v>24</v>
      </c>
      <c r="C639" t="s">
        <v>13</v>
      </c>
      <c r="D639" t="s">
        <v>22</v>
      </c>
      <c r="E639" s="3">
        <v>267687</v>
      </c>
      <c r="F639">
        <v>54480</v>
      </c>
      <c r="G639">
        <v>67</v>
      </c>
      <c r="H639" s="1">
        <v>0</v>
      </c>
      <c r="I639" s="1" t="s">
        <v>1102</v>
      </c>
      <c r="J639" t="s">
        <v>11</v>
      </c>
      <c r="K639" s="2">
        <v>321.60000000000002</v>
      </c>
      <c r="L639" s="1">
        <v>35321.599999999999</v>
      </c>
    </row>
    <row r="640" spans="1:12" x14ac:dyDescent="0.35">
      <c r="A640" t="s">
        <v>663</v>
      </c>
      <c r="B640" t="s">
        <v>1</v>
      </c>
      <c r="C640" t="s">
        <v>19</v>
      </c>
      <c r="D640" t="s">
        <v>26</v>
      </c>
      <c r="E640" s="3">
        <v>252396</v>
      </c>
      <c r="F640">
        <v>16244</v>
      </c>
      <c r="G640">
        <v>68</v>
      </c>
      <c r="H640" s="1">
        <v>0</v>
      </c>
      <c r="I640" s="1" t="s">
        <v>1102</v>
      </c>
      <c r="J640" t="s">
        <v>17</v>
      </c>
      <c r="K640" s="2">
        <v>623.22361699999999</v>
      </c>
      <c r="L640" s="1">
        <v>35623.223617002302</v>
      </c>
    </row>
    <row r="641" spans="1:12" x14ac:dyDescent="0.35">
      <c r="A641" t="s">
        <v>664</v>
      </c>
      <c r="B641" t="s">
        <v>1</v>
      </c>
      <c r="C641" t="s">
        <v>13</v>
      </c>
      <c r="D641" t="s">
        <v>26</v>
      </c>
      <c r="E641" s="3">
        <v>698840</v>
      </c>
      <c r="F641">
        <v>22436</v>
      </c>
      <c r="G641">
        <v>89</v>
      </c>
      <c r="H641" s="1">
        <v>0</v>
      </c>
      <c r="I641" s="1" t="s">
        <v>1112</v>
      </c>
      <c r="J641" t="s">
        <v>11</v>
      </c>
      <c r="K641" s="2">
        <v>427.2</v>
      </c>
      <c r="L641" s="1">
        <v>35427.199999999997</v>
      </c>
    </row>
    <row r="642" spans="1:12" x14ac:dyDescent="0.35">
      <c r="A642" t="s">
        <v>665</v>
      </c>
      <c r="B642" t="s">
        <v>8</v>
      </c>
      <c r="C642" t="s">
        <v>13</v>
      </c>
      <c r="D642" t="s">
        <v>26</v>
      </c>
      <c r="E642" s="3">
        <v>874206</v>
      </c>
      <c r="F642">
        <v>71592</v>
      </c>
      <c r="G642">
        <v>72</v>
      </c>
      <c r="H642" s="1">
        <v>0</v>
      </c>
      <c r="I642" s="1" t="s">
        <v>1102</v>
      </c>
      <c r="J642" t="s">
        <v>11</v>
      </c>
      <c r="K642" s="2">
        <v>141.72505100000001</v>
      </c>
      <c r="L642" s="1">
        <v>35141.725050995403</v>
      </c>
    </row>
    <row r="643" spans="1:12" x14ac:dyDescent="0.35">
      <c r="A643" t="s">
        <v>666</v>
      </c>
      <c r="B643" t="s">
        <v>28</v>
      </c>
      <c r="C643" t="s">
        <v>19</v>
      </c>
      <c r="D643" t="s">
        <v>10</v>
      </c>
      <c r="E643" s="3">
        <v>267332</v>
      </c>
      <c r="F643">
        <v>28728</v>
      </c>
      <c r="G643">
        <v>67</v>
      </c>
      <c r="H643" s="1">
        <v>0</v>
      </c>
      <c r="I643" s="1" t="s">
        <v>1102</v>
      </c>
      <c r="J643" t="s">
        <v>11</v>
      </c>
      <c r="K643" s="2">
        <v>321.60000000000002</v>
      </c>
      <c r="L643" s="1">
        <v>35321.599999999999</v>
      </c>
    </row>
    <row r="644" spans="1:12" x14ac:dyDescent="0.35">
      <c r="A644" t="s">
        <v>667</v>
      </c>
      <c r="B644" t="s">
        <v>28</v>
      </c>
      <c r="C644" t="s">
        <v>19</v>
      </c>
      <c r="D644" t="s">
        <v>22</v>
      </c>
      <c r="E644" s="3">
        <v>1215733</v>
      </c>
      <c r="F644">
        <v>57449</v>
      </c>
      <c r="G644">
        <v>103</v>
      </c>
      <c r="H644" s="1">
        <v>0</v>
      </c>
      <c r="I644" s="1" t="s">
        <v>1102</v>
      </c>
      <c r="J644" t="s">
        <v>11</v>
      </c>
      <c r="K644" s="2">
        <v>494.4</v>
      </c>
      <c r="L644" s="1">
        <v>35494.400000000001</v>
      </c>
    </row>
    <row r="645" spans="1:12" x14ac:dyDescent="0.35">
      <c r="A645" t="s">
        <v>668</v>
      </c>
      <c r="B645" t="s">
        <v>1</v>
      </c>
      <c r="C645" t="s">
        <v>13</v>
      </c>
      <c r="D645" t="s">
        <v>68</v>
      </c>
      <c r="E645" s="3">
        <v>295776</v>
      </c>
      <c r="F645">
        <v>83318</v>
      </c>
      <c r="G645">
        <v>73</v>
      </c>
      <c r="H645" s="1">
        <v>0</v>
      </c>
      <c r="I645" s="1" t="s">
        <v>1102</v>
      </c>
      <c r="J645" t="s">
        <v>17</v>
      </c>
      <c r="K645" s="2">
        <v>211.33693700000001</v>
      </c>
      <c r="L645" s="1">
        <v>35211.336937002299</v>
      </c>
    </row>
    <row r="646" spans="1:12" x14ac:dyDescent="0.35">
      <c r="A646" t="s">
        <v>669</v>
      </c>
      <c r="B646" t="s">
        <v>8</v>
      </c>
      <c r="C646" t="s">
        <v>19</v>
      </c>
      <c r="D646" t="s">
        <v>14</v>
      </c>
      <c r="E646" s="3">
        <v>717391</v>
      </c>
      <c r="F646">
        <v>75217</v>
      </c>
      <c r="G646">
        <v>61</v>
      </c>
      <c r="H646" s="1">
        <v>36526</v>
      </c>
      <c r="I646" s="1" t="s">
        <v>1102</v>
      </c>
      <c r="J646" t="s">
        <v>11</v>
      </c>
      <c r="K646" s="2">
        <v>147.08030299999999</v>
      </c>
      <c r="L646" s="1">
        <v>35147.080302997703</v>
      </c>
    </row>
    <row r="647" spans="1:12" x14ac:dyDescent="0.35">
      <c r="A647" t="s">
        <v>670</v>
      </c>
      <c r="B647" t="s">
        <v>16</v>
      </c>
      <c r="C647" t="s">
        <v>19</v>
      </c>
      <c r="D647" t="s">
        <v>14</v>
      </c>
      <c r="E647" s="3">
        <v>309954</v>
      </c>
      <c r="F647">
        <v>0</v>
      </c>
      <c r="G647">
        <v>102</v>
      </c>
      <c r="H647" s="1">
        <v>36647</v>
      </c>
      <c r="I647" s="1" t="s">
        <v>1105</v>
      </c>
      <c r="J647" t="s">
        <v>20</v>
      </c>
      <c r="K647" s="2">
        <v>862.76295700000003</v>
      </c>
      <c r="L647" s="1">
        <v>35862.762957002298</v>
      </c>
    </row>
    <row r="648" spans="1:12" x14ac:dyDescent="0.35">
      <c r="A648" t="s">
        <v>671</v>
      </c>
      <c r="B648" t="s">
        <v>24</v>
      </c>
      <c r="C648" t="s">
        <v>19</v>
      </c>
      <c r="D648" t="s">
        <v>14</v>
      </c>
      <c r="E648" s="3">
        <v>841568</v>
      </c>
      <c r="F648">
        <v>55308</v>
      </c>
      <c r="G648">
        <v>107</v>
      </c>
      <c r="H648" s="1">
        <v>0</v>
      </c>
      <c r="I648" s="1" t="s">
        <v>1105</v>
      </c>
      <c r="J648" t="s">
        <v>20</v>
      </c>
      <c r="K648" s="2">
        <v>513.6</v>
      </c>
      <c r="L648" s="1">
        <v>35513.599999999999</v>
      </c>
    </row>
    <row r="649" spans="1:12" x14ac:dyDescent="0.35">
      <c r="A649" t="s">
        <v>672</v>
      </c>
      <c r="B649" t="s">
        <v>24</v>
      </c>
      <c r="C649" t="s">
        <v>13</v>
      </c>
      <c r="D649" t="s">
        <v>26</v>
      </c>
      <c r="E649" s="3">
        <v>2684312</v>
      </c>
      <c r="F649">
        <v>36068</v>
      </c>
      <c r="G649">
        <v>97</v>
      </c>
      <c r="H649" s="1">
        <v>0</v>
      </c>
      <c r="I649" s="1" t="s">
        <v>1102</v>
      </c>
      <c r="J649" t="s">
        <v>17</v>
      </c>
      <c r="K649" s="2">
        <v>113.36776500000001</v>
      </c>
      <c r="L649" s="1">
        <v>35113.367765000003</v>
      </c>
    </row>
    <row r="650" spans="1:12" x14ac:dyDescent="0.35">
      <c r="A650" t="s">
        <v>673</v>
      </c>
      <c r="B650" t="s">
        <v>24</v>
      </c>
      <c r="C650" t="s">
        <v>19</v>
      </c>
      <c r="D650" t="s">
        <v>14</v>
      </c>
      <c r="E650" s="3">
        <v>1305717</v>
      </c>
      <c r="F650">
        <v>48804</v>
      </c>
      <c r="G650">
        <v>112</v>
      </c>
      <c r="H650" s="1">
        <v>36526</v>
      </c>
      <c r="I650" s="1" t="s">
        <v>1105</v>
      </c>
      <c r="J650" t="s">
        <v>11</v>
      </c>
      <c r="K650" s="2">
        <v>537.6</v>
      </c>
      <c r="L650" s="1">
        <v>35537.599999999999</v>
      </c>
    </row>
    <row r="651" spans="1:12" x14ac:dyDescent="0.35">
      <c r="A651" t="s">
        <v>674</v>
      </c>
      <c r="B651" t="s">
        <v>24</v>
      </c>
      <c r="C651" t="s">
        <v>19</v>
      </c>
      <c r="D651" t="s">
        <v>26</v>
      </c>
      <c r="E651" s="3">
        <v>959995</v>
      </c>
      <c r="F651">
        <v>0</v>
      </c>
      <c r="G651">
        <v>131</v>
      </c>
      <c r="H651" s="1">
        <v>0</v>
      </c>
      <c r="I651" s="1" t="s">
        <v>1102</v>
      </c>
      <c r="J651" t="s">
        <v>20</v>
      </c>
      <c r="K651" s="2">
        <v>943.2</v>
      </c>
      <c r="L651" s="1">
        <v>35943.199999999997</v>
      </c>
    </row>
    <row r="652" spans="1:12" x14ac:dyDescent="0.35">
      <c r="A652" t="s">
        <v>675</v>
      </c>
      <c r="B652" t="s">
        <v>24</v>
      </c>
      <c r="C652" t="s">
        <v>19</v>
      </c>
      <c r="D652" t="s">
        <v>14</v>
      </c>
      <c r="E652" s="3">
        <v>853511</v>
      </c>
      <c r="F652">
        <v>55790</v>
      </c>
      <c r="G652">
        <v>111</v>
      </c>
      <c r="H652" s="1">
        <v>0</v>
      </c>
      <c r="I652" s="1" t="s">
        <v>1102</v>
      </c>
      <c r="J652" t="s">
        <v>20</v>
      </c>
      <c r="K652" s="2">
        <v>117.67272199999999</v>
      </c>
      <c r="L652" s="1">
        <v>35117.672722002302</v>
      </c>
    </row>
    <row r="653" spans="1:12" x14ac:dyDescent="0.35">
      <c r="A653" t="s">
        <v>676</v>
      </c>
      <c r="B653" t="s">
        <v>28</v>
      </c>
      <c r="C653" t="s">
        <v>13</v>
      </c>
      <c r="D653" t="s">
        <v>14</v>
      </c>
      <c r="E653" s="3">
        <v>829348</v>
      </c>
      <c r="F653">
        <v>70258</v>
      </c>
      <c r="G653">
        <v>69</v>
      </c>
      <c r="H653" s="1">
        <v>0</v>
      </c>
      <c r="I653" s="1" t="s">
        <v>1102</v>
      </c>
      <c r="J653" t="s">
        <v>11</v>
      </c>
      <c r="K653" s="2">
        <v>225.145949</v>
      </c>
      <c r="L653" s="1">
        <v>35225.145949004604</v>
      </c>
    </row>
    <row r="654" spans="1:12" x14ac:dyDescent="0.35">
      <c r="A654" t="s">
        <v>677</v>
      </c>
      <c r="B654" t="s">
        <v>24</v>
      </c>
      <c r="C654" t="s">
        <v>13</v>
      </c>
      <c r="D654" t="s">
        <v>14</v>
      </c>
      <c r="E654" s="3">
        <v>684615</v>
      </c>
      <c r="F654">
        <v>0</v>
      </c>
      <c r="G654">
        <v>95</v>
      </c>
      <c r="H654" s="1">
        <v>0</v>
      </c>
      <c r="I654" s="1" t="s">
        <v>1102</v>
      </c>
      <c r="J654" t="s">
        <v>17</v>
      </c>
      <c r="K654" s="2">
        <v>456</v>
      </c>
      <c r="L654" s="1">
        <v>35456</v>
      </c>
    </row>
    <row r="655" spans="1:12" x14ac:dyDescent="0.35">
      <c r="A655" t="s">
        <v>678</v>
      </c>
      <c r="B655" t="s">
        <v>24</v>
      </c>
      <c r="C655" t="s">
        <v>13</v>
      </c>
      <c r="D655" t="s">
        <v>14</v>
      </c>
      <c r="E655" s="3">
        <v>663686</v>
      </c>
      <c r="F655">
        <v>47274</v>
      </c>
      <c r="G655">
        <v>83</v>
      </c>
      <c r="H655" s="1">
        <v>36526</v>
      </c>
      <c r="I655" s="1" t="s">
        <v>1105</v>
      </c>
      <c r="J655" t="s">
        <v>11</v>
      </c>
      <c r="K655" s="2">
        <v>182.43256500000001</v>
      </c>
      <c r="L655" s="1">
        <v>35182.432565000003</v>
      </c>
    </row>
    <row r="656" spans="1:12" x14ac:dyDescent="0.35">
      <c r="A656" t="s">
        <v>679</v>
      </c>
      <c r="B656" t="s">
        <v>8</v>
      </c>
      <c r="C656" t="s">
        <v>13</v>
      </c>
      <c r="D656" t="s">
        <v>26</v>
      </c>
      <c r="E656" s="3">
        <v>560908</v>
      </c>
      <c r="F656">
        <v>44705</v>
      </c>
      <c r="G656">
        <v>71</v>
      </c>
      <c r="H656" s="1">
        <v>0</v>
      </c>
      <c r="I656" s="1" t="s">
        <v>1102</v>
      </c>
      <c r="J656" t="s">
        <v>17</v>
      </c>
      <c r="K656" s="2">
        <v>148.17315199999999</v>
      </c>
      <c r="L656" s="1">
        <v>35148.173152002302</v>
      </c>
    </row>
    <row r="657" spans="1:12" x14ac:dyDescent="0.35">
      <c r="A657" t="s">
        <v>680</v>
      </c>
      <c r="B657" t="s">
        <v>28</v>
      </c>
      <c r="C657" t="s">
        <v>19</v>
      </c>
      <c r="D657" t="s">
        <v>22</v>
      </c>
      <c r="E657" s="3">
        <v>507732</v>
      </c>
      <c r="F657">
        <v>0</v>
      </c>
      <c r="G657">
        <v>73</v>
      </c>
      <c r="H657" s="1">
        <v>0</v>
      </c>
      <c r="I657" s="1" t="s">
        <v>1102</v>
      </c>
      <c r="J657" t="s">
        <v>17</v>
      </c>
      <c r="K657" s="2">
        <v>525.6</v>
      </c>
      <c r="L657" s="1">
        <v>35525.599999999999</v>
      </c>
    </row>
    <row r="658" spans="1:12" x14ac:dyDescent="0.35">
      <c r="A658" t="s">
        <v>681</v>
      </c>
      <c r="B658" t="s">
        <v>8</v>
      </c>
      <c r="C658" t="s">
        <v>13</v>
      </c>
      <c r="D658" t="s">
        <v>10</v>
      </c>
      <c r="E658" s="3">
        <v>527563</v>
      </c>
      <c r="F658">
        <v>70446</v>
      </c>
      <c r="G658">
        <v>65</v>
      </c>
      <c r="H658" s="1">
        <v>0</v>
      </c>
      <c r="I658" s="1" t="s">
        <v>1102</v>
      </c>
      <c r="J658" t="s">
        <v>11</v>
      </c>
      <c r="K658" s="2">
        <v>155.57080199999999</v>
      </c>
      <c r="L658" s="1">
        <v>35155.570802002301</v>
      </c>
    </row>
    <row r="659" spans="1:12" x14ac:dyDescent="0.35">
      <c r="A659" t="s">
        <v>682</v>
      </c>
      <c r="B659" t="s">
        <v>8</v>
      </c>
      <c r="C659" t="s">
        <v>13</v>
      </c>
      <c r="D659" t="s">
        <v>22</v>
      </c>
      <c r="E659" s="3">
        <v>251459</v>
      </c>
      <c r="F659">
        <v>43860</v>
      </c>
      <c r="G659">
        <v>65</v>
      </c>
      <c r="H659" s="1">
        <v>0</v>
      </c>
      <c r="I659" s="1" t="s">
        <v>1102</v>
      </c>
      <c r="J659" t="s">
        <v>11</v>
      </c>
      <c r="K659" s="2">
        <v>156.12491399999999</v>
      </c>
      <c r="L659" s="1">
        <v>35156.124914004598</v>
      </c>
    </row>
    <row r="660" spans="1:12" x14ac:dyDescent="0.35">
      <c r="A660" t="s">
        <v>683</v>
      </c>
      <c r="B660" t="s">
        <v>24</v>
      </c>
      <c r="C660" t="s">
        <v>13</v>
      </c>
      <c r="D660" t="s">
        <v>14</v>
      </c>
      <c r="E660" s="3">
        <v>343525</v>
      </c>
      <c r="F660">
        <v>64348</v>
      </c>
      <c r="G660">
        <v>86</v>
      </c>
      <c r="H660" s="1">
        <v>0</v>
      </c>
      <c r="I660" s="1" t="s">
        <v>1102</v>
      </c>
      <c r="J660" t="s">
        <v>17</v>
      </c>
      <c r="K660" s="2">
        <v>212.391975</v>
      </c>
      <c r="L660" s="1">
        <v>35212.391974999999</v>
      </c>
    </row>
    <row r="661" spans="1:12" x14ac:dyDescent="0.35">
      <c r="A661" t="s">
        <v>684</v>
      </c>
      <c r="B661" t="s">
        <v>24</v>
      </c>
      <c r="C661" t="s">
        <v>19</v>
      </c>
      <c r="D661" t="s">
        <v>14</v>
      </c>
      <c r="E661" s="3">
        <v>662461</v>
      </c>
      <c r="F661">
        <v>0</v>
      </c>
      <c r="G661">
        <v>62</v>
      </c>
      <c r="H661" s="1">
        <v>0</v>
      </c>
      <c r="I661" s="1" t="s">
        <v>1105</v>
      </c>
      <c r="J661" t="s">
        <v>17</v>
      </c>
      <c r="K661" s="2">
        <v>297.60000000000002</v>
      </c>
      <c r="L661" s="1">
        <v>35297.599999999999</v>
      </c>
    </row>
    <row r="662" spans="1:12" x14ac:dyDescent="0.35">
      <c r="A662" t="s">
        <v>685</v>
      </c>
      <c r="B662" t="s">
        <v>1</v>
      </c>
      <c r="C662" t="s">
        <v>19</v>
      </c>
      <c r="D662" t="s">
        <v>10</v>
      </c>
      <c r="E662" s="3">
        <v>575744</v>
      </c>
      <c r="F662">
        <v>88997</v>
      </c>
      <c r="G662">
        <v>72</v>
      </c>
      <c r="H662" s="1">
        <v>0</v>
      </c>
      <c r="I662" s="1" t="s">
        <v>1112</v>
      </c>
      <c r="J662" t="s">
        <v>11</v>
      </c>
      <c r="K662" s="2">
        <v>174.04156599999999</v>
      </c>
      <c r="L662" s="1">
        <v>35174.041565995401</v>
      </c>
    </row>
    <row r="663" spans="1:12" x14ac:dyDescent="0.35">
      <c r="A663" t="s">
        <v>686</v>
      </c>
      <c r="B663" t="s">
        <v>8</v>
      </c>
      <c r="C663" t="s">
        <v>13</v>
      </c>
      <c r="D663" t="s">
        <v>22</v>
      </c>
      <c r="E663" s="3">
        <v>251459</v>
      </c>
      <c r="F663">
        <v>43860</v>
      </c>
      <c r="G663">
        <v>65</v>
      </c>
      <c r="H663" s="1">
        <v>0</v>
      </c>
      <c r="I663" s="1" t="s">
        <v>1105</v>
      </c>
      <c r="J663" t="s">
        <v>11</v>
      </c>
      <c r="K663" s="2">
        <v>156.12491399999999</v>
      </c>
      <c r="L663" s="1">
        <v>35156.124914004598</v>
      </c>
    </row>
    <row r="664" spans="1:12" x14ac:dyDescent="0.35">
      <c r="A664" t="s">
        <v>687</v>
      </c>
      <c r="B664" t="s">
        <v>1</v>
      </c>
      <c r="C664" t="s">
        <v>13</v>
      </c>
      <c r="D664" t="s">
        <v>22</v>
      </c>
      <c r="E664" s="3">
        <v>288645</v>
      </c>
      <c r="F664">
        <v>10312</v>
      </c>
      <c r="G664">
        <v>78</v>
      </c>
      <c r="H664" s="1">
        <v>0</v>
      </c>
      <c r="I664" s="1" t="s">
        <v>1105</v>
      </c>
      <c r="J664" t="s">
        <v>11</v>
      </c>
      <c r="K664" s="2">
        <v>486.27855699999998</v>
      </c>
      <c r="L664" s="1">
        <v>35486.278557002297</v>
      </c>
    </row>
    <row r="665" spans="1:12" x14ac:dyDescent="0.35">
      <c r="A665" t="s">
        <v>688</v>
      </c>
      <c r="B665" t="s">
        <v>1</v>
      </c>
      <c r="C665" t="s">
        <v>13</v>
      </c>
      <c r="D665" t="s">
        <v>22</v>
      </c>
      <c r="E665" s="3">
        <v>534144</v>
      </c>
      <c r="F665">
        <v>0</v>
      </c>
      <c r="G665">
        <v>72</v>
      </c>
      <c r="H665" s="1">
        <v>36526</v>
      </c>
      <c r="I665" s="1" t="s">
        <v>1102</v>
      </c>
      <c r="J665" t="s">
        <v>11</v>
      </c>
      <c r="K665" s="2">
        <v>345.6</v>
      </c>
      <c r="L665" s="1">
        <v>35345.599999999999</v>
      </c>
    </row>
    <row r="666" spans="1:12" x14ac:dyDescent="0.35">
      <c r="A666" t="s">
        <v>689</v>
      </c>
      <c r="B666" t="s">
        <v>28</v>
      </c>
      <c r="C666" t="s">
        <v>13</v>
      </c>
      <c r="D666" t="s">
        <v>22</v>
      </c>
      <c r="E666" s="3">
        <v>416002</v>
      </c>
      <c r="F666">
        <v>96263</v>
      </c>
      <c r="G666">
        <v>103</v>
      </c>
      <c r="H666" s="1">
        <v>0</v>
      </c>
      <c r="I666" s="1" t="s">
        <v>1102</v>
      </c>
      <c r="J666" t="s">
        <v>20</v>
      </c>
      <c r="K666" s="2">
        <v>1.924709</v>
      </c>
      <c r="L666" s="1">
        <v>35001.924709004597</v>
      </c>
    </row>
    <row r="667" spans="1:12" x14ac:dyDescent="0.35">
      <c r="A667" t="s">
        <v>690</v>
      </c>
      <c r="B667" t="s">
        <v>1</v>
      </c>
      <c r="C667" t="s">
        <v>13</v>
      </c>
      <c r="D667" t="s">
        <v>26</v>
      </c>
      <c r="E667" s="3">
        <v>284625</v>
      </c>
      <c r="F667">
        <v>28919</v>
      </c>
      <c r="G667">
        <v>72</v>
      </c>
      <c r="H667" s="1">
        <v>0</v>
      </c>
      <c r="I667" s="1" t="s">
        <v>1105</v>
      </c>
      <c r="J667" t="s">
        <v>11</v>
      </c>
      <c r="K667" s="2">
        <v>518.4</v>
      </c>
      <c r="L667" s="1">
        <v>35518.400000000001</v>
      </c>
    </row>
    <row r="668" spans="1:12" x14ac:dyDescent="0.35">
      <c r="A668" t="s">
        <v>691</v>
      </c>
      <c r="B668" t="s">
        <v>24</v>
      </c>
      <c r="C668" t="s">
        <v>13</v>
      </c>
      <c r="D668" t="s">
        <v>26</v>
      </c>
      <c r="E668" s="3">
        <v>477026</v>
      </c>
      <c r="F668">
        <v>0</v>
      </c>
      <c r="G668">
        <v>68</v>
      </c>
      <c r="H668" s="1">
        <v>36526</v>
      </c>
      <c r="I668" s="1" t="s">
        <v>1102</v>
      </c>
      <c r="J668" t="s">
        <v>17</v>
      </c>
      <c r="K668" s="2">
        <v>326.39999999999998</v>
      </c>
      <c r="L668" s="1">
        <v>35326.400000000001</v>
      </c>
    </row>
    <row r="669" spans="1:12" x14ac:dyDescent="0.35">
      <c r="A669" t="s">
        <v>692</v>
      </c>
      <c r="B669" t="s">
        <v>24</v>
      </c>
      <c r="C669" t="s">
        <v>19</v>
      </c>
      <c r="D669" t="s">
        <v>14</v>
      </c>
      <c r="E669" s="3">
        <v>505962</v>
      </c>
      <c r="F669">
        <v>41869</v>
      </c>
      <c r="G669">
        <v>64</v>
      </c>
      <c r="H669" s="1">
        <v>0</v>
      </c>
      <c r="I669" s="1" t="s">
        <v>1102</v>
      </c>
      <c r="J669" t="s">
        <v>17</v>
      </c>
      <c r="K669" s="2">
        <v>262.12205</v>
      </c>
      <c r="L669" s="1">
        <v>35262.122049999998</v>
      </c>
    </row>
    <row r="670" spans="1:12" x14ac:dyDescent="0.35">
      <c r="A670" t="s">
        <v>693</v>
      </c>
      <c r="B670" t="s">
        <v>28</v>
      </c>
      <c r="C670" t="s">
        <v>13</v>
      </c>
      <c r="D670" t="s">
        <v>22</v>
      </c>
      <c r="E670" s="3">
        <v>909574</v>
      </c>
      <c r="F670">
        <v>0</v>
      </c>
      <c r="G670">
        <v>128</v>
      </c>
      <c r="H670" s="1">
        <v>0</v>
      </c>
      <c r="I670" s="1" t="s">
        <v>1102</v>
      </c>
      <c r="J670" t="s">
        <v>20</v>
      </c>
      <c r="K670" s="2">
        <v>921.6</v>
      </c>
      <c r="L670" s="1">
        <v>35921.599999999999</v>
      </c>
    </row>
    <row r="671" spans="1:12" x14ac:dyDescent="0.35">
      <c r="A671" t="s">
        <v>694</v>
      </c>
      <c r="B671" t="s">
        <v>1</v>
      </c>
      <c r="C671" t="s">
        <v>13</v>
      </c>
      <c r="D671" t="s">
        <v>22</v>
      </c>
      <c r="E671" s="3">
        <v>268886</v>
      </c>
      <c r="F671">
        <v>32808</v>
      </c>
      <c r="G671">
        <v>68</v>
      </c>
      <c r="H671" s="1">
        <v>36526</v>
      </c>
      <c r="I671" s="1" t="s">
        <v>1102</v>
      </c>
      <c r="J671" t="s">
        <v>11</v>
      </c>
      <c r="K671" s="2">
        <v>541.69565799999998</v>
      </c>
      <c r="L671" s="1">
        <v>35541.695657997698</v>
      </c>
    </row>
    <row r="672" spans="1:12" x14ac:dyDescent="0.35">
      <c r="A672" t="s">
        <v>695</v>
      </c>
      <c r="B672" t="s">
        <v>1</v>
      </c>
      <c r="C672" t="s">
        <v>13</v>
      </c>
      <c r="D672" t="s">
        <v>14</v>
      </c>
      <c r="E672" s="3">
        <v>827764</v>
      </c>
      <c r="F672">
        <v>79780</v>
      </c>
      <c r="G672">
        <v>68</v>
      </c>
      <c r="H672" s="1">
        <v>0</v>
      </c>
      <c r="I672" s="1" t="s">
        <v>1102</v>
      </c>
      <c r="J672" t="s">
        <v>11</v>
      </c>
      <c r="K672" s="2">
        <v>326.39999999999998</v>
      </c>
      <c r="L672" s="1">
        <v>35326.400000000001</v>
      </c>
    </row>
    <row r="673" spans="1:12" x14ac:dyDescent="0.35">
      <c r="A673" t="s">
        <v>696</v>
      </c>
      <c r="B673" t="s">
        <v>24</v>
      </c>
      <c r="C673" t="s">
        <v>13</v>
      </c>
      <c r="D673" t="s">
        <v>26</v>
      </c>
      <c r="E673" s="3">
        <v>905794</v>
      </c>
      <c r="F673">
        <v>91025</v>
      </c>
      <c r="G673">
        <v>112</v>
      </c>
      <c r="H673" s="1">
        <v>0</v>
      </c>
      <c r="I673" s="1" t="s">
        <v>1102</v>
      </c>
      <c r="J673" t="s">
        <v>20</v>
      </c>
      <c r="K673" s="2">
        <v>327.68266899999998</v>
      </c>
      <c r="L673" s="1">
        <v>35327.6826690046</v>
      </c>
    </row>
    <row r="674" spans="1:12" x14ac:dyDescent="0.35">
      <c r="A674" t="s">
        <v>697</v>
      </c>
      <c r="B674" t="s">
        <v>1</v>
      </c>
      <c r="C674" t="s">
        <v>13</v>
      </c>
      <c r="D674" t="s">
        <v>22</v>
      </c>
      <c r="E674" s="3">
        <v>380175</v>
      </c>
      <c r="F674">
        <v>33043</v>
      </c>
      <c r="G674">
        <v>95</v>
      </c>
      <c r="H674" s="1">
        <v>0</v>
      </c>
      <c r="I674" s="1" t="s">
        <v>1102</v>
      </c>
      <c r="J674" t="s">
        <v>17</v>
      </c>
      <c r="K674" s="2">
        <v>456</v>
      </c>
      <c r="L674" s="1">
        <v>35456</v>
      </c>
    </row>
    <row r="675" spans="1:12" x14ac:dyDescent="0.35">
      <c r="A675" t="s">
        <v>698</v>
      </c>
      <c r="B675" t="s">
        <v>28</v>
      </c>
      <c r="C675" t="s">
        <v>19</v>
      </c>
      <c r="D675" t="s">
        <v>22</v>
      </c>
      <c r="E675" s="3">
        <v>933934</v>
      </c>
      <c r="F675">
        <v>69442</v>
      </c>
      <c r="G675">
        <v>118</v>
      </c>
      <c r="H675" s="1">
        <v>36586</v>
      </c>
      <c r="I675" s="1" t="s">
        <v>1102</v>
      </c>
      <c r="J675" t="s">
        <v>11</v>
      </c>
      <c r="K675" s="2">
        <v>1265.5703020000001</v>
      </c>
      <c r="L675" s="1">
        <v>36265.570302002299</v>
      </c>
    </row>
    <row r="676" spans="1:12" x14ac:dyDescent="0.35">
      <c r="A676" t="s">
        <v>699</v>
      </c>
      <c r="B676" t="s">
        <v>24</v>
      </c>
      <c r="C676" t="s">
        <v>19</v>
      </c>
      <c r="D676" t="s">
        <v>26</v>
      </c>
      <c r="E676" s="3">
        <v>252012</v>
      </c>
      <c r="F676">
        <v>0</v>
      </c>
      <c r="G676">
        <v>70</v>
      </c>
      <c r="H676" s="1">
        <v>0</v>
      </c>
      <c r="I676" s="1" t="s">
        <v>1105</v>
      </c>
      <c r="J676" t="s">
        <v>11</v>
      </c>
      <c r="K676" s="2">
        <v>63.043196999999999</v>
      </c>
      <c r="L676" s="1">
        <v>35063.043197002298</v>
      </c>
    </row>
    <row r="677" spans="1:12" x14ac:dyDescent="0.35">
      <c r="A677" t="s">
        <v>700</v>
      </c>
      <c r="B677" t="s">
        <v>28</v>
      </c>
      <c r="C677" t="s">
        <v>13</v>
      </c>
      <c r="D677" t="s">
        <v>26</v>
      </c>
      <c r="E677" s="3">
        <v>498410</v>
      </c>
      <c r="F677">
        <v>0</v>
      </c>
      <c r="G677">
        <v>70</v>
      </c>
      <c r="H677" s="1">
        <v>0</v>
      </c>
      <c r="I677" s="1" t="s">
        <v>1105</v>
      </c>
      <c r="J677" t="s">
        <v>11</v>
      </c>
      <c r="K677" s="2">
        <v>336</v>
      </c>
      <c r="L677" s="1">
        <v>35336</v>
      </c>
    </row>
    <row r="678" spans="1:12" x14ac:dyDescent="0.35">
      <c r="A678" t="s">
        <v>701</v>
      </c>
      <c r="B678" t="s">
        <v>24</v>
      </c>
      <c r="C678" t="s">
        <v>13</v>
      </c>
      <c r="D678" t="s">
        <v>14</v>
      </c>
      <c r="E678" s="3">
        <v>259575</v>
      </c>
      <c r="F678">
        <v>47234</v>
      </c>
      <c r="G678">
        <v>65</v>
      </c>
      <c r="H678" s="1">
        <v>0</v>
      </c>
      <c r="I678" s="1" t="s">
        <v>1102</v>
      </c>
      <c r="J678" t="s">
        <v>11</v>
      </c>
      <c r="K678" s="2">
        <v>15.631363</v>
      </c>
      <c r="L678" s="1">
        <v>35015.631362997701</v>
      </c>
    </row>
    <row r="679" spans="1:12" x14ac:dyDescent="0.35">
      <c r="A679" t="s">
        <v>702</v>
      </c>
      <c r="B679" t="s">
        <v>24</v>
      </c>
      <c r="C679" t="s">
        <v>19</v>
      </c>
      <c r="D679" t="s">
        <v>22</v>
      </c>
      <c r="E679" s="3">
        <v>743769</v>
      </c>
      <c r="F679">
        <v>86863</v>
      </c>
      <c r="G679">
        <v>92</v>
      </c>
      <c r="H679" s="1">
        <v>0</v>
      </c>
      <c r="I679" s="1" t="s">
        <v>1102</v>
      </c>
      <c r="J679" t="s">
        <v>11</v>
      </c>
      <c r="K679" s="2">
        <v>441.6</v>
      </c>
      <c r="L679" s="1">
        <v>35441.599999999999</v>
      </c>
    </row>
    <row r="680" spans="1:12" x14ac:dyDescent="0.35">
      <c r="A680" t="s">
        <v>703</v>
      </c>
      <c r="B680" t="s">
        <v>24</v>
      </c>
      <c r="C680" t="s">
        <v>19</v>
      </c>
      <c r="D680" t="s">
        <v>14</v>
      </c>
      <c r="E680" s="3">
        <v>1453679</v>
      </c>
      <c r="F680">
        <v>25805</v>
      </c>
      <c r="G680">
        <v>66</v>
      </c>
      <c r="H680" s="1">
        <v>36557</v>
      </c>
      <c r="I680" s="1" t="s">
        <v>1102</v>
      </c>
      <c r="J680" t="s">
        <v>11</v>
      </c>
      <c r="K680" s="2">
        <v>375.86609099999998</v>
      </c>
      <c r="L680" s="1">
        <v>35375.866090995398</v>
      </c>
    </row>
    <row r="681" spans="1:12" x14ac:dyDescent="0.35">
      <c r="A681" t="s">
        <v>704</v>
      </c>
      <c r="B681" t="s">
        <v>16</v>
      </c>
      <c r="C681" t="s">
        <v>19</v>
      </c>
      <c r="D681" t="s">
        <v>14</v>
      </c>
      <c r="E681" s="3">
        <v>591331</v>
      </c>
      <c r="F681">
        <v>43676</v>
      </c>
      <c r="G681">
        <v>76</v>
      </c>
      <c r="H681" s="1">
        <v>0</v>
      </c>
      <c r="I681" s="1" t="s">
        <v>1102</v>
      </c>
      <c r="J681" t="s">
        <v>11</v>
      </c>
      <c r="K681" s="2">
        <v>364.8</v>
      </c>
      <c r="L681" s="1">
        <v>35364.800000000003</v>
      </c>
    </row>
    <row r="682" spans="1:12" x14ac:dyDescent="0.35">
      <c r="A682" t="s">
        <v>705</v>
      </c>
      <c r="B682" t="s">
        <v>28</v>
      </c>
      <c r="C682" t="s">
        <v>19</v>
      </c>
      <c r="D682" t="s">
        <v>26</v>
      </c>
      <c r="E682" s="3">
        <v>277166</v>
      </c>
      <c r="F682">
        <v>59855</v>
      </c>
      <c r="G682">
        <v>74</v>
      </c>
      <c r="H682" s="1">
        <v>36617</v>
      </c>
      <c r="I682" s="1" t="s">
        <v>1102</v>
      </c>
      <c r="J682" t="s">
        <v>17</v>
      </c>
      <c r="K682" s="2">
        <v>355.2</v>
      </c>
      <c r="L682" s="1">
        <v>35355.199999999997</v>
      </c>
    </row>
    <row r="683" spans="1:12" x14ac:dyDescent="0.35">
      <c r="A683" t="s">
        <v>706</v>
      </c>
      <c r="B683" t="s">
        <v>28</v>
      </c>
      <c r="C683" t="s">
        <v>19</v>
      </c>
      <c r="D683" t="s">
        <v>10</v>
      </c>
      <c r="E683" s="3">
        <v>2919437</v>
      </c>
      <c r="F683">
        <v>35296</v>
      </c>
      <c r="G683">
        <v>126</v>
      </c>
      <c r="H683" s="1">
        <v>0</v>
      </c>
      <c r="I683" s="1" t="s">
        <v>1102</v>
      </c>
      <c r="J683" t="s">
        <v>20</v>
      </c>
      <c r="K683" s="2">
        <v>452.616872</v>
      </c>
      <c r="L683" s="1">
        <v>35452.616872002298</v>
      </c>
    </row>
    <row r="684" spans="1:12" x14ac:dyDescent="0.35">
      <c r="A684" t="s">
        <v>707</v>
      </c>
      <c r="B684" t="s">
        <v>24</v>
      </c>
      <c r="C684" t="s">
        <v>13</v>
      </c>
      <c r="D684" t="s">
        <v>10</v>
      </c>
      <c r="E684" s="3">
        <v>988039</v>
      </c>
      <c r="F684">
        <v>36576</v>
      </c>
      <c r="G684">
        <v>125</v>
      </c>
      <c r="H684" s="1">
        <v>36526</v>
      </c>
      <c r="I684" s="1" t="s">
        <v>1102</v>
      </c>
      <c r="J684" t="s">
        <v>20</v>
      </c>
      <c r="K684" s="2">
        <v>113.45012199999999</v>
      </c>
      <c r="L684" s="1">
        <v>35113.450122002301</v>
      </c>
    </row>
    <row r="685" spans="1:12" x14ac:dyDescent="0.35">
      <c r="A685" t="s">
        <v>708</v>
      </c>
      <c r="B685" t="s">
        <v>1</v>
      </c>
      <c r="C685" t="s">
        <v>13</v>
      </c>
      <c r="D685" t="s">
        <v>22</v>
      </c>
      <c r="E685" s="3">
        <v>1511440</v>
      </c>
      <c r="F685">
        <v>28513</v>
      </c>
      <c r="G685">
        <v>100</v>
      </c>
      <c r="H685" s="1">
        <v>36526</v>
      </c>
      <c r="I685" s="1" t="s">
        <v>1105</v>
      </c>
      <c r="J685" t="s">
        <v>20</v>
      </c>
      <c r="K685" s="2">
        <v>480</v>
      </c>
      <c r="L685" s="1">
        <v>35480</v>
      </c>
    </row>
    <row r="686" spans="1:12" x14ac:dyDescent="0.35">
      <c r="A686" t="s">
        <v>709</v>
      </c>
      <c r="B686" t="s">
        <v>24</v>
      </c>
      <c r="C686" t="s">
        <v>19</v>
      </c>
      <c r="D686" t="s">
        <v>14</v>
      </c>
      <c r="E686" s="3">
        <v>575991</v>
      </c>
      <c r="F686">
        <v>85448</v>
      </c>
      <c r="G686">
        <v>72</v>
      </c>
      <c r="H686" s="1">
        <v>0</v>
      </c>
      <c r="I686" s="1" t="s">
        <v>1112</v>
      </c>
      <c r="J686" t="s">
        <v>11</v>
      </c>
      <c r="K686" s="2">
        <v>16.034510000000001</v>
      </c>
      <c r="L686" s="1">
        <v>35016.034509999998</v>
      </c>
    </row>
    <row r="687" spans="1:12" x14ac:dyDescent="0.35">
      <c r="A687" t="s">
        <v>710</v>
      </c>
      <c r="B687" t="s">
        <v>24</v>
      </c>
      <c r="C687" t="s">
        <v>13</v>
      </c>
      <c r="D687" t="s">
        <v>22</v>
      </c>
      <c r="E687" s="3">
        <v>849516</v>
      </c>
      <c r="F687">
        <v>23791</v>
      </c>
      <c r="G687">
        <v>110</v>
      </c>
      <c r="H687" s="1">
        <v>36586</v>
      </c>
      <c r="I687" s="1" t="s">
        <v>1102</v>
      </c>
      <c r="J687" t="s">
        <v>17</v>
      </c>
      <c r="K687" s="2">
        <v>615.27228000000002</v>
      </c>
      <c r="L687" s="1">
        <v>35615.272279999997</v>
      </c>
    </row>
    <row r="688" spans="1:12" x14ac:dyDescent="0.35">
      <c r="A688" t="s">
        <v>711</v>
      </c>
      <c r="B688" t="s">
        <v>1</v>
      </c>
      <c r="C688" t="s">
        <v>13</v>
      </c>
      <c r="D688" t="s">
        <v>14</v>
      </c>
      <c r="E688" s="3">
        <v>438118</v>
      </c>
      <c r="F688">
        <v>20597</v>
      </c>
      <c r="G688">
        <v>112</v>
      </c>
      <c r="H688" s="1">
        <v>0</v>
      </c>
      <c r="I688" s="1" t="s">
        <v>1102</v>
      </c>
      <c r="J688" t="s">
        <v>11</v>
      </c>
      <c r="K688" s="2">
        <v>615.25630100000001</v>
      </c>
      <c r="L688" s="1">
        <v>35615.256300995403</v>
      </c>
    </row>
    <row r="689" spans="1:12" x14ac:dyDescent="0.35">
      <c r="A689" t="s">
        <v>712</v>
      </c>
      <c r="B689" t="s">
        <v>28</v>
      </c>
      <c r="C689" t="s">
        <v>13</v>
      </c>
      <c r="D689" t="s">
        <v>26</v>
      </c>
      <c r="E689" s="3">
        <v>699783</v>
      </c>
      <c r="F689">
        <v>56940</v>
      </c>
      <c r="G689">
        <v>87</v>
      </c>
      <c r="H689" s="1">
        <v>0</v>
      </c>
      <c r="I689" s="1" t="s">
        <v>1102</v>
      </c>
      <c r="J689" t="s">
        <v>11</v>
      </c>
      <c r="K689" s="2">
        <v>512.66245000000004</v>
      </c>
      <c r="L689" s="1">
        <v>35512.662450000003</v>
      </c>
    </row>
    <row r="690" spans="1:12" x14ac:dyDescent="0.35">
      <c r="A690" t="s">
        <v>713</v>
      </c>
      <c r="B690" t="s">
        <v>24</v>
      </c>
      <c r="C690" t="s">
        <v>19</v>
      </c>
      <c r="D690" t="s">
        <v>14</v>
      </c>
      <c r="E690" s="3">
        <v>1143059</v>
      </c>
      <c r="F690">
        <v>93210</v>
      </c>
      <c r="G690">
        <v>71</v>
      </c>
      <c r="H690" s="1">
        <v>0</v>
      </c>
      <c r="I690" s="1" t="s">
        <v>1102</v>
      </c>
      <c r="J690" t="s">
        <v>17</v>
      </c>
      <c r="K690" s="2">
        <v>74.523934999999994</v>
      </c>
      <c r="L690" s="1">
        <v>35074.523934999997</v>
      </c>
    </row>
    <row r="691" spans="1:12" x14ac:dyDescent="0.35">
      <c r="A691" t="s">
        <v>714</v>
      </c>
      <c r="B691" t="s">
        <v>24</v>
      </c>
      <c r="C691" t="s">
        <v>13</v>
      </c>
      <c r="D691" t="s">
        <v>14</v>
      </c>
      <c r="E691" s="3">
        <v>748249</v>
      </c>
      <c r="F691">
        <v>48992</v>
      </c>
      <c r="G691">
        <v>94</v>
      </c>
      <c r="H691" s="1">
        <v>36526</v>
      </c>
      <c r="I691" s="1" t="s">
        <v>1102</v>
      </c>
      <c r="J691" t="s">
        <v>11</v>
      </c>
      <c r="K691" s="2">
        <v>426.072946</v>
      </c>
      <c r="L691" s="1">
        <v>35426.072945995402</v>
      </c>
    </row>
    <row r="692" spans="1:12" x14ac:dyDescent="0.35">
      <c r="A692" t="s">
        <v>715</v>
      </c>
      <c r="B692" t="s">
        <v>28</v>
      </c>
      <c r="C692" t="s">
        <v>13</v>
      </c>
      <c r="D692" t="s">
        <v>10</v>
      </c>
      <c r="E692" s="3">
        <v>859692</v>
      </c>
      <c r="F692">
        <v>53736</v>
      </c>
      <c r="G692">
        <v>71</v>
      </c>
      <c r="H692" s="1">
        <v>0</v>
      </c>
      <c r="I692" s="1" t="s">
        <v>1102</v>
      </c>
      <c r="J692" t="s">
        <v>17</v>
      </c>
      <c r="K692" s="2">
        <v>169.28778500000001</v>
      </c>
      <c r="L692" s="1">
        <v>35169.287785</v>
      </c>
    </row>
    <row r="693" spans="1:12" x14ac:dyDescent="0.35">
      <c r="A693" t="s">
        <v>716</v>
      </c>
      <c r="B693" t="s">
        <v>28</v>
      </c>
      <c r="C693" t="s">
        <v>19</v>
      </c>
      <c r="D693" t="s">
        <v>26</v>
      </c>
      <c r="E693" s="3">
        <v>785496</v>
      </c>
      <c r="F693">
        <v>25378</v>
      </c>
      <c r="G693">
        <v>66</v>
      </c>
      <c r="H693" s="1">
        <v>36526</v>
      </c>
      <c r="I693" s="1" t="s">
        <v>1102</v>
      </c>
      <c r="J693" t="s">
        <v>11</v>
      </c>
      <c r="K693" s="2">
        <v>419.46414299999998</v>
      </c>
      <c r="L693" s="1">
        <v>35419.464142997698</v>
      </c>
    </row>
    <row r="694" spans="1:12" x14ac:dyDescent="0.35">
      <c r="A694" t="s">
        <v>717</v>
      </c>
      <c r="B694" t="s">
        <v>24</v>
      </c>
      <c r="C694" t="s">
        <v>13</v>
      </c>
      <c r="D694" t="s">
        <v>14</v>
      </c>
      <c r="E694" s="3">
        <v>258241</v>
      </c>
      <c r="F694">
        <v>76731</v>
      </c>
      <c r="G694">
        <v>64</v>
      </c>
      <c r="H694" s="1">
        <v>0</v>
      </c>
      <c r="I694" s="1" t="s">
        <v>1102</v>
      </c>
      <c r="J694" t="s">
        <v>11</v>
      </c>
      <c r="K694" s="2">
        <v>201.455005</v>
      </c>
      <c r="L694" s="1">
        <v>35201.455005000003</v>
      </c>
    </row>
    <row r="695" spans="1:12" x14ac:dyDescent="0.35">
      <c r="A695" t="s">
        <v>718</v>
      </c>
      <c r="B695" t="s">
        <v>8</v>
      </c>
      <c r="C695" t="s">
        <v>19</v>
      </c>
      <c r="D695" t="s">
        <v>10</v>
      </c>
      <c r="E695" s="3">
        <v>907577</v>
      </c>
      <c r="F695">
        <v>37722</v>
      </c>
      <c r="G695">
        <v>116</v>
      </c>
      <c r="H695" s="1">
        <v>0</v>
      </c>
      <c r="I695" s="1" t="s">
        <v>1105</v>
      </c>
      <c r="J695" t="s">
        <v>66</v>
      </c>
      <c r="K695" s="2">
        <v>158.077504</v>
      </c>
      <c r="L695" s="1">
        <v>35158.077504004599</v>
      </c>
    </row>
    <row r="696" spans="1:12" x14ac:dyDescent="0.35">
      <c r="A696" t="s">
        <v>719</v>
      </c>
      <c r="B696" t="s">
        <v>1</v>
      </c>
      <c r="C696" t="s">
        <v>13</v>
      </c>
      <c r="D696" t="s">
        <v>14</v>
      </c>
      <c r="E696" s="3">
        <v>411859</v>
      </c>
      <c r="F696">
        <v>69379</v>
      </c>
      <c r="G696">
        <v>103</v>
      </c>
      <c r="H696" s="1">
        <v>0</v>
      </c>
      <c r="I696" s="1" t="s">
        <v>1102</v>
      </c>
      <c r="J696" t="s">
        <v>17</v>
      </c>
      <c r="K696" s="2">
        <v>494.4</v>
      </c>
      <c r="L696" s="1">
        <v>35494.400000000001</v>
      </c>
    </row>
    <row r="697" spans="1:12" x14ac:dyDescent="0.35">
      <c r="A697" t="s">
        <v>720</v>
      </c>
      <c r="B697" t="s">
        <v>24</v>
      </c>
      <c r="C697" t="s">
        <v>19</v>
      </c>
      <c r="D697" t="s">
        <v>22</v>
      </c>
      <c r="E697" s="3">
        <v>1215733</v>
      </c>
      <c r="F697">
        <v>57449</v>
      </c>
      <c r="G697">
        <v>103</v>
      </c>
      <c r="H697" s="1">
        <v>0</v>
      </c>
      <c r="I697" s="1" t="s">
        <v>1102</v>
      </c>
      <c r="J697" t="s">
        <v>11</v>
      </c>
      <c r="K697" s="2">
        <v>494.4</v>
      </c>
      <c r="L697" s="1">
        <v>35494.400000000001</v>
      </c>
    </row>
    <row r="698" spans="1:12" x14ac:dyDescent="0.35">
      <c r="A698" t="s">
        <v>721</v>
      </c>
      <c r="B698" t="s">
        <v>28</v>
      </c>
      <c r="C698" t="s">
        <v>19</v>
      </c>
      <c r="D698" t="s">
        <v>14</v>
      </c>
      <c r="E698" s="3">
        <v>515282</v>
      </c>
      <c r="F698">
        <v>0</v>
      </c>
      <c r="G698">
        <v>68</v>
      </c>
      <c r="H698" s="1">
        <v>0</v>
      </c>
      <c r="I698" s="1" t="s">
        <v>1105</v>
      </c>
      <c r="J698" t="s">
        <v>11</v>
      </c>
      <c r="K698" s="2">
        <v>326.39999999999998</v>
      </c>
      <c r="L698" s="1">
        <v>35326.400000000001</v>
      </c>
    </row>
    <row r="699" spans="1:12" x14ac:dyDescent="0.35">
      <c r="A699" t="s">
        <v>722</v>
      </c>
      <c r="B699" t="s">
        <v>16</v>
      </c>
      <c r="C699" t="s">
        <v>19</v>
      </c>
      <c r="D699" t="s">
        <v>26</v>
      </c>
      <c r="E699" s="3">
        <v>651298</v>
      </c>
      <c r="F699">
        <v>0</v>
      </c>
      <c r="G699">
        <v>93</v>
      </c>
      <c r="H699" s="1">
        <v>0</v>
      </c>
      <c r="I699" s="1" t="s">
        <v>1102</v>
      </c>
      <c r="J699" t="s">
        <v>17</v>
      </c>
      <c r="K699" s="2">
        <v>669.6</v>
      </c>
      <c r="L699" s="1">
        <v>35669.599999999999</v>
      </c>
    </row>
    <row r="700" spans="1:12" x14ac:dyDescent="0.35">
      <c r="A700" t="s">
        <v>723</v>
      </c>
      <c r="B700" t="s">
        <v>28</v>
      </c>
      <c r="C700" t="s">
        <v>13</v>
      </c>
      <c r="D700" t="s">
        <v>14</v>
      </c>
      <c r="E700" s="3">
        <v>2778969</v>
      </c>
      <c r="F700">
        <v>33806</v>
      </c>
      <c r="G700">
        <v>89</v>
      </c>
      <c r="H700" s="1">
        <v>0</v>
      </c>
      <c r="I700" s="1" t="s">
        <v>1105</v>
      </c>
      <c r="J700" t="s">
        <v>11</v>
      </c>
      <c r="K700" s="2">
        <v>395.729716</v>
      </c>
      <c r="L700" s="1">
        <v>35395.729715995403</v>
      </c>
    </row>
    <row r="701" spans="1:12" x14ac:dyDescent="0.35">
      <c r="A701" t="s">
        <v>724</v>
      </c>
      <c r="B701" t="s">
        <v>8</v>
      </c>
      <c r="C701" t="s">
        <v>13</v>
      </c>
      <c r="D701" t="s">
        <v>26</v>
      </c>
      <c r="E701" s="3">
        <v>266727</v>
      </c>
      <c r="F701">
        <v>94041</v>
      </c>
      <c r="G701">
        <v>66</v>
      </c>
      <c r="H701" s="1">
        <v>0</v>
      </c>
      <c r="I701" s="1" t="s">
        <v>1102</v>
      </c>
      <c r="J701" t="s">
        <v>11</v>
      </c>
      <c r="K701" s="2">
        <v>159.756733</v>
      </c>
      <c r="L701" s="1">
        <v>35159.756732997703</v>
      </c>
    </row>
    <row r="702" spans="1:12" x14ac:dyDescent="0.35">
      <c r="A702" t="s">
        <v>725</v>
      </c>
      <c r="B702" t="s">
        <v>24</v>
      </c>
      <c r="C702" t="s">
        <v>13</v>
      </c>
      <c r="D702" t="s">
        <v>26</v>
      </c>
      <c r="E702" s="3">
        <v>1092841</v>
      </c>
      <c r="F702">
        <v>74965</v>
      </c>
      <c r="G702">
        <v>90</v>
      </c>
      <c r="H702" s="1">
        <v>0</v>
      </c>
      <c r="I702" s="1" t="s">
        <v>1102</v>
      </c>
      <c r="J702" t="s">
        <v>11</v>
      </c>
      <c r="K702" s="2">
        <v>58.557552000000001</v>
      </c>
      <c r="L702" s="1">
        <v>35058.557552002298</v>
      </c>
    </row>
    <row r="703" spans="1:12" x14ac:dyDescent="0.35">
      <c r="A703" t="s">
        <v>726</v>
      </c>
      <c r="B703" t="s">
        <v>28</v>
      </c>
      <c r="C703" t="s">
        <v>13</v>
      </c>
      <c r="D703" t="s">
        <v>22</v>
      </c>
      <c r="E703" s="3">
        <v>761538</v>
      </c>
      <c r="F703">
        <v>34095</v>
      </c>
      <c r="G703">
        <v>63</v>
      </c>
      <c r="H703" s="1">
        <v>0</v>
      </c>
      <c r="I703" s="1" t="s">
        <v>1102</v>
      </c>
      <c r="J703" t="s">
        <v>17</v>
      </c>
      <c r="K703" s="2">
        <v>302.39999999999998</v>
      </c>
      <c r="L703" s="1">
        <v>35302.400000000001</v>
      </c>
    </row>
    <row r="704" spans="1:12" x14ac:dyDescent="0.35">
      <c r="A704" t="s">
        <v>727</v>
      </c>
      <c r="B704" t="s">
        <v>1</v>
      </c>
      <c r="C704" t="s">
        <v>13</v>
      </c>
      <c r="D704" t="s">
        <v>26</v>
      </c>
      <c r="E704" s="3">
        <v>200435</v>
      </c>
      <c r="F704">
        <v>0</v>
      </c>
      <c r="G704">
        <v>66</v>
      </c>
      <c r="H704" s="1">
        <v>36617</v>
      </c>
      <c r="I704" s="1" t="s">
        <v>1102</v>
      </c>
      <c r="J704" t="s">
        <v>11</v>
      </c>
      <c r="K704" s="2">
        <v>316.8</v>
      </c>
      <c r="L704" s="1">
        <v>35316.800000000003</v>
      </c>
    </row>
    <row r="705" spans="1:12" x14ac:dyDescent="0.35">
      <c r="A705" t="s">
        <v>728</v>
      </c>
      <c r="B705" t="s">
        <v>1</v>
      </c>
      <c r="C705" t="s">
        <v>19</v>
      </c>
      <c r="D705" t="s">
        <v>26</v>
      </c>
      <c r="E705" s="3">
        <v>243468</v>
      </c>
      <c r="F705">
        <v>96045</v>
      </c>
      <c r="G705">
        <v>61</v>
      </c>
      <c r="H705" s="1">
        <v>0</v>
      </c>
      <c r="I705" s="1" t="s">
        <v>1105</v>
      </c>
      <c r="J705" t="s">
        <v>11</v>
      </c>
      <c r="K705" s="2">
        <v>8.5829710000000006</v>
      </c>
      <c r="L705" s="1">
        <v>35008.582970995398</v>
      </c>
    </row>
    <row r="706" spans="1:12" x14ac:dyDescent="0.35">
      <c r="A706" t="s">
        <v>729</v>
      </c>
      <c r="B706" t="s">
        <v>16</v>
      </c>
      <c r="C706" t="s">
        <v>13</v>
      </c>
      <c r="D706" t="s">
        <v>14</v>
      </c>
      <c r="E706" s="3">
        <v>1419536</v>
      </c>
      <c r="F706">
        <v>86355</v>
      </c>
      <c r="G706">
        <v>118</v>
      </c>
      <c r="H706" s="1">
        <v>0</v>
      </c>
      <c r="I706" s="1" t="s">
        <v>1102</v>
      </c>
      <c r="J706" t="s">
        <v>66</v>
      </c>
      <c r="K706" s="2">
        <v>285.41847300000001</v>
      </c>
      <c r="L706" s="1">
        <v>35285.418472997699</v>
      </c>
    </row>
    <row r="707" spans="1:12" x14ac:dyDescent="0.35">
      <c r="A707" t="s">
        <v>730</v>
      </c>
      <c r="B707" t="s">
        <v>1</v>
      </c>
      <c r="C707" t="s">
        <v>13</v>
      </c>
      <c r="D707" t="s">
        <v>22</v>
      </c>
      <c r="E707" s="3">
        <v>942768</v>
      </c>
      <c r="F707">
        <v>27824</v>
      </c>
      <c r="G707">
        <v>118</v>
      </c>
      <c r="H707" s="1">
        <v>0</v>
      </c>
      <c r="I707" s="1" t="s">
        <v>1102</v>
      </c>
      <c r="J707" t="s">
        <v>20</v>
      </c>
      <c r="K707" s="2">
        <v>566.4</v>
      </c>
      <c r="L707" s="1">
        <v>35566.400000000001</v>
      </c>
    </row>
    <row r="708" spans="1:12" x14ac:dyDescent="0.35">
      <c r="A708" t="s">
        <v>731</v>
      </c>
      <c r="B708" t="s">
        <v>1</v>
      </c>
      <c r="C708" t="s">
        <v>19</v>
      </c>
      <c r="D708" t="s">
        <v>22</v>
      </c>
      <c r="E708" s="3">
        <v>1198242</v>
      </c>
      <c r="F708">
        <v>42995</v>
      </c>
      <c r="G708">
        <v>101</v>
      </c>
      <c r="H708" s="1">
        <v>0</v>
      </c>
      <c r="I708" s="1" t="s">
        <v>1102</v>
      </c>
      <c r="J708" t="s">
        <v>20</v>
      </c>
      <c r="K708" s="2">
        <v>410.50831599999998</v>
      </c>
      <c r="L708" s="1">
        <v>35410.508315995401</v>
      </c>
    </row>
    <row r="709" spans="1:12" x14ac:dyDescent="0.35">
      <c r="A709" t="s">
        <v>732</v>
      </c>
      <c r="B709" t="s">
        <v>24</v>
      </c>
      <c r="C709" t="s">
        <v>13</v>
      </c>
      <c r="D709" t="s">
        <v>22</v>
      </c>
      <c r="E709" s="3">
        <v>310279</v>
      </c>
      <c r="F709">
        <v>21235</v>
      </c>
      <c r="G709">
        <v>79</v>
      </c>
      <c r="H709" s="1">
        <v>0</v>
      </c>
      <c r="I709" s="1" t="s">
        <v>1102</v>
      </c>
      <c r="J709" t="s">
        <v>17</v>
      </c>
      <c r="K709" s="2">
        <v>244.23134999999999</v>
      </c>
      <c r="L709" s="1">
        <v>35244.231350000002</v>
      </c>
    </row>
    <row r="710" spans="1:12" x14ac:dyDescent="0.35">
      <c r="A710" t="s">
        <v>733</v>
      </c>
      <c r="B710" t="s">
        <v>1</v>
      </c>
      <c r="C710" t="s">
        <v>19</v>
      </c>
      <c r="D710" t="s">
        <v>22</v>
      </c>
      <c r="E710" s="3">
        <v>422263</v>
      </c>
      <c r="F710">
        <v>74585</v>
      </c>
      <c r="G710">
        <v>106</v>
      </c>
      <c r="H710" s="1">
        <v>0</v>
      </c>
      <c r="I710" s="1" t="s">
        <v>1102</v>
      </c>
      <c r="J710" t="s">
        <v>20</v>
      </c>
      <c r="K710" s="2">
        <v>218.59806499999999</v>
      </c>
      <c r="L710" s="1">
        <v>35218.598064999998</v>
      </c>
    </row>
    <row r="711" spans="1:12" x14ac:dyDescent="0.35">
      <c r="A711" t="s">
        <v>734</v>
      </c>
      <c r="B711" t="s">
        <v>24</v>
      </c>
      <c r="C711" t="s">
        <v>19</v>
      </c>
      <c r="D711" t="s">
        <v>14</v>
      </c>
      <c r="E711" s="3">
        <v>402381</v>
      </c>
      <c r="F711">
        <v>41833</v>
      </c>
      <c r="G711">
        <v>103</v>
      </c>
      <c r="H711" s="1">
        <v>0</v>
      </c>
      <c r="I711" s="1" t="s">
        <v>1102</v>
      </c>
      <c r="J711" t="s">
        <v>11</v>
      </c>
      <c r="K711" s="2">
        <v>643.82671600000003</v>
      </c>
      <c r="L711" s="1">
        <v>35643.826715995398</v>
      </c>
    </row>
    <row r="712" spans="1:12" x14ac:dyDescent="0.35">
      <c r="A712" t="s">
        <v>735</v>
      </c>
      <c r="B712" t="s">
        <v>1</v>
      </c>
      <c r="C712" t="s">
        <v>13</v>
      </c>
      <c r="D712" t="s">
        <v>26</v>
      </c>
      <c r="E712" s="3">
        <v>529715</v>
      </c>
      <c r="F712">
        <v>23908</v>
      </c>
      <c r="G712">
        <v>70</v>
      </c>
      <c r="H712" s="1">
        <v>0</v>
      </c>
      <c r="I712" s="1" t="s">
        <v>1102</v>
      </c>
      <c r="J712" t="s">
        <v>11</v>
      </c>
      <c r="K712" s="2">
        <v>336</v>
      </c>
      <c r="L712" s="1">
        <v>35336</v>
      </c>
    </row>
    <row r="713" spans="1:12" x14ac:dyDescent="0.35">
      <c r="A713" t="s">
        <v>736</v>
      </c>
      <c r="B713" t="s">
        <v>24</v>
      </c>
      <c r="C713" t="s">
        <v>19</v>
      </c>
      <c r="D713" t="s">
        <v>14</v>
      </c>
      <c r="E713" s="3">
        <v>2142364</v>
      </c>
      <c r="F713">
        <v>0</v>
      </c>
      <c r="G713">
        <v>65</v>
      </c>
      <c r="H713" s="1">
        <v>0</v>
      </c>
      <c r="I713" s="1" t="s">
        <v>1102</v>
      </c>
      <c r="J713" t="s">
        <v>17</v>
      </c>
      <c r="K713" s="2">
        <v>312</v>
      </c>
      <c r="L713" s="1">
        <v>35312</v>
      </c>
    </row>
    <row r="714" spans="1:12" x14ac:dyDescent="0.35">
      <c r="A714" t="s">
        <v>737</v>
      </c>
      <c r="B714" t="s">
        <v>28</v>
      </c>
      <c r="C714" t="s">
        <v>19</v>
      </c>
      <c r="D714" t="s">
        <v>14</v>
      </c>
      <c r="E714" s="3">
        <v>441621</v>
      </c>
      <c r="F714">
        <v>61953</v>
      </c>
      <c r="G714">
        <v>113</v>
      </c>
      <c r="H714" s="1">
        <v>0</v>
      </c>
      <c r="I714" s="1" t="s">
        <v>1102</v>
      </c>
      <c r="J714" t="s">
        <v>20</v>
      </c>
      <c r="K714" s="2">
        <v>497.04729700000001</v>
      </c>
      <c r="L714" s="1">
        <v>35497.047297002297</v>
      </c>
    </row>
    <row r="715" spans="1:12" x14ac:dyDescent="0.35">
      <c r="A715" t="s">
        <v>738</v>
      </c>
      <c r="B715" t="s">
        <v>1</v>
      </c>
      <c r="C715" t="s">
        <v>19</v>
      </c>
      <c r="D715" t="s">
        <v>14</v>
      </c>
      <c r="E715" s="3">
        <v>463904</v>
      </c>
      <c r="F715">
        <v>0</v>
      </c>
      <c r="G715">
        <v>142</v>
      </c>
      <c r="H715" s="1">
        <v>0</v>
      </c>
      <c r="I715" s="1" t="s">
        <v>1105</v>
      </c>
      <c r="J715" t="s">
        <v>20</v>
      </c>
      <c r="K715" s="2">
        <v>1022.4</v>
      </c>
      <c r="L715" s="1">
        <v>36022.400000000001</v>
      </c>
    </row>
    <row r="716" spans="1:12" x14ac:dyDescent="0.35">
      <c r="A716" t="s">
        <v>739</v>
      </c>
      <c r="B716" t="s">
        <v>16</v>
      </c>
      <c r="C716" t="s">
        <v>19</v>
      </c>
      <c r="D716" t="s">
        <v>14</v>
      </c>
      <c r="E716" s="3">
        <v>486354</v>
      </c>
      <c r="F716">
        <v>0</v>
      </c>
      <c r="G716">
        <v>137</v>
      </c>
      <c r="H716" s="1">
        <v>0</v>
      </c>
      <c r="I716" s="1" t="s">
        <v>1102</v>
      </c>
      <c r="J716" t="s">
        <v>20</v>
      </c>
      <c r="K716" s="2">
        <v>657.6</v>
      </c>
      <c r="L716" s="1">
        <v>35657.599999999999</v>
      </c>
    </row>
    <row r="717" spans="1:12" x14ac:dyDescent="0.35">
      <c r="A717" t="s">
        <v>740</v>
      </c>
      <c r="B717" t="s">
        <v>28</v>
      </c>
      <c r="C717" t="s">
        <v>13</v>
      </c>
      <c r="D717" t="s">
        <v>14</v>
      </c>
      <c r="E717" s="3">
        <v>2583091</v>
      </c>
      <c r="F717">
        <v>73760</v>
      </c>
      <c r="G717">
        <v>107</v>
      </c>
      <c r="H717" s="1">
        <v>36526</v>
      </c>
      <c r="I717" s="1" t="s">
        <v>1102</v>
      </c>
      <c r="J717" t="s">
        <v>66</v>
      </c>
      <c r="K717" s="2">
        <v>230.24577199999999</v>
      </c>
      <c r="L717" s="1">
        <v>35230.245772002301</v>
      </c>
    </row>
    <row r="718" spans="1:12" x14ac:dyDescent="0.35">
      <c r="A718" t="s">
        <v>741</v>
      </c>
      <c r="B718" t="s">
        <v>24</v>
      </c>
      <c r="C718" t="s">
        <v>13</v>
      </c>
      <c r="D718" t="s">
        <v>26</v>
      </c>
      <c r="E718" s="3">
        <v>297431</v>
      </c>
      <c r="F718">
        <v>23333</v>
      </c>
      <c r="G718">
        <v>74</v>
      </c>
      <c r="H718" s="1">
        <v>0</v>
      </c>
      <c r="I718" s="1" t="s">
        <v>1105</v>
      </c>
      <c r="J718" t="s">
        <v>11</v>
      </c>
      <c r="K718" s="2">
        <v>5.6227510000000001</v>
      </c>
      <c r="L718" s="1">
        <v>35005.622750995397</v>
      </c>
    </row>
    <row r="719" spans="1:12" x14ac:dyDescent="0.35">
      <c r="A719" t="s">
        <v>742</v>
      </c>
      <c r="B719" t="s">
        <v>1</v>
      </c>
      <c r="C719" t="s">
        <v>19</v>
      </c>
      <c r="D719" t="s">
        <v>26</v>
      </c>
      <c r="E719" s="3">
        <v>206446</v>
      </c>
      <c r="F719">
        <v>0</v>
      </c>
      <c r="G719">
        <v>61</v>
      </c>
      <c r="H719" s="1">
        <v>0</v>
      </c>
      <c r="I719" s="1" t="s">
        <v>1102</v>
      </c>
      <c r="J719" t="s">
        <v>11</v>
      </c>
      <c r="K719" s="2">
        <v>292.8</v>
      </c>
      <c r="L719" s="1">
        <v>35292.800000000003</v>
      </c>
    </row>
    <row r="720" spans="1:12" x14ac:dyDescent="0.35">
      <c r="A720" t="s">
        <v>743</v>
      </c>
      <c r="B720" t="s">
        <v>28</v>
      </c>
      <c r="C720" t="s">
        <v>13</v>
      </c>
      <c r="D720" t="s">
        <v>22</v>
      </c>
      <c r="E720" s="3">
        <v>1006461</v>
      </c>
      <c r="F720">
        <v>20440</v>
      </c>
      <c r="G720">
        <v>128</v>
      </c>
      <c r="H720" s="1">
        <v>36557</v>
      </c>
      <c r="I720" s="1" t="s">
        <v>1105</v>
      </c>
      <c r="J720" t="s">
        <v>66</v>
      </c>
      <c r="K720" s="2">
        <v>614.4</v>
      </c>
      <c r="L720" s="1">
        <v>35614.400000000001</v>
      </c>
    </row>
    <row r="721" spans="1:12" x14ac:dyDescent="0.35">
      <c r="A721" t="s">
        <v>744</v>
      </c>
      <c r="B721" t="s">
        <v>8</v>
      </c>
      <c r="C721" t="s">
        <v>19</v>
      </c>
      <c r="D721" t="s">
        <v>10</v>
      </c>
      <c r="E721" s="3">
        <v>803240</v>
      </c>
      <c r="F721">
        <v>27658</v>
      </c>
      <c r="G721">
        <v>68</v>
      </c>
      <c r="H721" s="1">
        <v>0</v>
      </c>
      <c r="I721" s="1" t="s">
        <v>1102</v>
      </c>
      <c r="J721" t="s">
        <v>11</v>
      </c>
      <c r="K721" s="2">
        <v>160.07525999999999</v>
      </c>
      <c r="L721" s="1">
        <v>35160.075259999998</v>
      </c>
    </row>
    <row r="722" spans="1:12" x14ac:dyDescent="0.35">
      <c r="A722" t="s">
        <v>745</v>
      </c>
      <c r="B722" t="s">
        <v>1</v>
      </c>
      <c r="C722" t="s">
        <v>19</v>
      </c>
      <c r="D722" t="s">
        <v>26</v>
      </c>
      <c r="E722" s="3">
        <v>548921</v>
      </c>
      <c r="F722">
        <v>50943</v>
      </c>
      <c r="G722">
        <v>139</v>
      </c>
      <c r="H722" s="1">
        <v>0</v>
      </c>
      <c r="I722" s="1" t="s">
        <v>1112</v>
      </c>
      <c r="J722" t="s">
        <v>20</v>
      </c>
      <c r="K722" s="2">
        <v>667.2</v>
      </c>
      <c r="L722" s="1">
        <v>35667.199999999997</v>
      </c>
    </row>
    <row r="723" spans="1:12" x14ac:dyDescent="0.35">
      <c r="A723" t="s">
        <v>746</v>
      </c>
      <c r="B723" t="s">
        <v>1</v>
      </c>
      <c r="C723" t="s">
        <v>19</v>
      </c>
      <c r="D723" t="s">
        <v>14</v>
      </c>
      <c r="E723" s="3">
        <v>261276</v>
      </c>
      <c r="F723">
        <v>19003</v>
      </c>
      <c r="G723">
        <v>71</v>
      </c>
      <c r="H723" s="1">
        <v>0</v>
      </c>
      <c r="I723" s="1" t="s">
        <v>1102</v>
      </c>
      <c r="J723" t="s">
        <v>17</v>
      </c>
      <c r="K723" s="2">
        <v>34.651305000000001</v>
      </c>
      <c r="L723" s="1">
        <v>35034.651304999999</v>
      </c>
    </row>
    <row r="724" spans="1:12" x14ac:dyDescent="0.35">
      <c r="A724" t="s">
        <v>747</v>
      </c>
      <c r="B724" t="s">
        <v>1</v>
      </c>
      <c r="C724" t="s">
        <v>19</v>
      </c>
      <c r="D724" t="s">
        <v>26</v>
      </c>
      <c r="E724" s="3">
        <v>857346</v>
      </c>
      <c r="F724">
        <v>46703</v>
      </c>
      <c r="G724">
        <v>108</v>
      </c>
      <c r="H724" s="1">
        <v>0</v>
      </c>
      <c r="I724" s="1" t="s">
        <v>1102</v>
      </c>
      <c r="J724" t="s">
        <v>11</v>
      </c>
      <c r="K724" s="2">
        <v>678.10048700000004</v>
      </c>
      <c r="L724" s="1">
        <v>35678.100487002303</v>
      </c>
    </row>
    <row r="725" spans="1:12" x14ac:dyDescent="0.35">
      <c r="A725" t="s">
        <v>748</v>
      </c>
      <c r="B725" t="s">
        <v>1</v>
      </c>
      <c r="C725" t="s">
        <v>19</v>
      </c>
      <c r="D725" t="s">
        <v>14</v>
      </c>
      <c r="E725" s="3">
        <v>2412750</v>
      </c>
      <c r="F725">
        <v>14072</v>
      </c>
      <c r="G725">
        <v>71</v>
      </c>
      <c r="H725" s="1">
        <v>0</v>
      </c>
      <c r="I725" s="1" t="s">
        <v>1102</v>
      </c>
      <c r="J725" t="s">
        <v>11</v>
      </c>
      <c r="K725" s="2">
        <v>511.2</v>
      </c>
      <c r="L725" s="1">
        <v>35511.199999999997</v>
      </c>
    </row>
    <row r="726" spans="1:12" x14ac:dyDescent="0.35">
      <c r="A726" t="s">
        <v>749</v>
      </c>
      <c r="B726" t="s">
        <v>24</v>
      </c>
      <c r="C726" t="s">
        <v>19</v>
      </c>
      <c r="D726" t="s">
        <v>26</v>
      </c>
      <c r="E726" s="3">
        <v>855039</v>
      </c>
      <c r="F726">
        <v>21733</v>
      </c>
      <c r="G726">
        <v>73</v>
      </c>
      <c r="H726" s="1">
        <v>0</v>
      </c>
      <c r="I726" s="1" t="s">
        <v>1105</v>
      </c>
      <c r="J726" t="s">
        <v>11</v>
      </c>
      <c r="K726" s="2">
        <v>525.6</v>
      </c>
      <c r="L726" s="1">
        <v>35525.599999999999</v>
      </c>
    </row>
    <row r="727" spans="1:12" x14ac:dyDescent="0.35">
      <c r="A727" t="s">
        <v>750</v>
      </c>
      <c r="B727" t="s">
        <v>28</v>
      </c>
      <c r="C727" t="s">
        <v>19</v>
      </c>
      <c r="D727" t="s">
        <v>14</v>
      </c>
      <c r="E727" s="3">
        <v>230865</v>
      </c>
      <c r="F727">
        <v>20811</v>
      </c>
      <c r="G727">
        <v>61</v>
      </c>
      <c r="H727" s="1">
        <v>0</v>
      </c>
      <c r="I727" s="1" t="s">
        <v>1102</v>
      </c>
      <c r="J727" t="s">
        <v>11</v>
      </c>
      <c r="K727" s="2">
        <v>292.8</v>
      </c>
      <c r="L727" s="1">
        <v>35292.800000000003</v>
      </c>
    </row>
    <row r="728" spans="1:12" x14ac:dyDescent="0.35">
      <c r="A728" t="s">
        <v>751</v>
      </c>
      <c r="B728" t="s">
        <v>28</v>
      </c>
      <c r="C728" t="s">
        <v>13</v>
      </c>
      <c r="D728" t="s">
        <v>22</v>
      </c>
      <c r="E728" s="3">
        <v>425462</v>
      </c>
      <c r="F728">
        <v>11904</v>
      </c>
      <c r="G728">
        <v>61</v>
      </c>
      <c r="H728" s="1">
        <v>36557</v>
      </c>
      <c r="I728" s="1" t="s">
        <v>1102</v>
      </c>
      <c r="J728" t="s">
        <v>17</v>
      </c>
      <c r="K728" s="2">
        <v>292.8</v>
      </c>
      <c r="L728" s="1">
        <v>35292.800000000003</v>
      </c>
    </row>
    <row r="729" spans="1:12" x14ac:dyDescent="0.35">
      <c r="A729" t="s">
        <v>752</v>
      </c>
      <c r="B729" t="s">
        <v>24</v>
      </c>
      <c r="C729" t="s">
        <v>13</v>
      </c>
      <c r="D729" t="s">
        <v>26</v>
      </c>
      <c r="E729" s="3">
        <v>898285</v>
      </c>
      <c r="F729">
        <v>43490</v>
      </c>
      <c r="G729">
        <v>114</v>
      </c>
      <c r="H729" s="1">
        <v>36617</v>
      </c>
      <c r="I729" s="1" t="s">
        <v>1105</v>
      </c>
      <c r="J729" t="s">
        <v>20</v>
      </c>
      <c r="K729" s="2">
        <v>174.588413</v>
      </c>
      <c r="L729" s="1">
        <v>35174.588412997698</v>
      </c>
    </row>
    <row r="730" spans="1:12" x14ac:dyDescent="0.35">
      <c r="A730" t="s">
        <v>753</v>
      </c>
      <c r="B730" t="s">
        <v>1</v>
      </c>
      <c r="C730" t="s">
        <v>19</v>
      </c>
      <c r="D730" t="s">
        <v>22</v>
      </c>
      <c r="E730" s="3">
        <v>786817</v>
      </c>
      <c r="F730">
        <v>57340</v>
      </c>
      <c r="G730">
        <v>67</v>
      </c>
      <c r="H730" s="1">
        <v>0</v>
      </c>
      <c r="I730" s="1" t="s">
        <v>1105</v>
      </c>
      <c r="J730" t="s">
        <v>11</v>
      </c>
      <c r="K730" s="2">
        <v>159.39168100000001</v>
      </c>
      <c r="L730" s="1">
        <v>35159.391680995403</v>
      </c>
    </row>
    <row r="731" spans="1:12" x14ac:dyDescent="0.35">
      <c r="A731" t="s">
        <v>754</v>
      </c>
      <c r="B731" t="s">
        <v>1</v>
      </c>
      <c r="C731" t="s">
        <v>19</v>
      </c>
      <c r="D731" t="s">
        <v>26</v>
      </c>
      <c r="E731" s="3">
        <v>770425</v>
      </c>
      <c r="F731">
        <v>49088</v>
      </c>
      <c r="G731">
        <v>97</v>
      </c>
      <c r="H731" s="1">
        <v>0</v>
      </c>
      <c r="I731" s="1" t="s">
        <v>1105</v>
      </c>
      <c r="J731" t="s">
        <v>11</v>
      </c>
      <c r="K731" s="2">
        <v>698.4</v>
      </c>
      <c r="L731" s="1">
        <v>35698.400000000001</v>
      </c>
    </row>
    <row r="732" spans="1:12" x14ac:dyDescent="0.35">
      <c r="A732" t="s">
        <v>755</v>
      </c>
      <c r="B732" t="s">
        <v>16</v>
      </c>
      <c r="C732" t="s">
        <v>19</v>
      </c>
      <c r="D732" t="s">
        <v>10</v>
      </c>
      <c r="E732" s="3">
        <v>1055217</v>
      </c>
      <c r="F732">
        <v>47761</v>
      </c>
      <c r="G732">
        <v>131</v>
      </c>
      <c r="H732" s="1">
        <v>0</v>
      </c>
      <c r="I732" s="1" t="s">
        <v>1102</v>
      </c>
      <c r="J732" t="s">
        <v>20</v>
      </c>
      <c r="K732" s="2">
        <v>232.711071</v>
      </c>
      <c r="L732" s="1">
        <v>35232.711070995399</v>
      </c>
    </row>
    <row r="733" spans="1:12" x14ac:dyDescent="0.35">
      <c r="A733" t="s">
        <v>756</v>
      </c>
      <c r="B733" t="s">
        <v>8</v>
      </c>
      <c r="C733" t="s">
        <v>13</v>
      </c>
      <c r="D733" t="s">
        <v>26</v>
      </c>
      <c r="E733" s="3">
        <v>1604511</v>
      </c>
      <c r="F733">
        <v>0</v>
      </c>
      <c r="G733">
        <v>65</v>
      </c>
      <c r="H733" s="1">
        <v>0</v>
      </c>
      <c r="I733" s="1" t="s">
        <v>1102</v>
      </c>
      <c r="J733" t="s">
        <v>17</v>
      </c>
      <c r="K733" s="2">
        <v>163.04695599999999</v>
      </c>
      <c r="L733" s="1">
        <v>35163.0469559954</v>
      </c>
    </row>
    <row r="734" spans="1:12" x14ac:dyDescent="0.35">
      <c r="A734" t="s">
        <v>757</v>
      </c>
      <c r="B734" t="s">
        <v>28</v>
      </c>
      <c r="C734" t="s">
        <v>19</v>
      </c>
      <c r="D734" t="s">
        <v>14</v>
      </c>
      <c r="E734" s="3">
        <v>873784</v>
      </c>
      <c r="F734">
        <v>61281</v>
      </c>
      <c r="G734">
        <v>110</v>
      </c>
      <c r="H734" s="1">
        <v>0</v>
      </c>
      <c r="I734" s="1" t="s">
        <v>1102</v>
      </c>
      <c r="J734" t="s">
        <v>20</v>
      </c>
      <c r="K734" s="2">
        <v>79.865605000000002</v>
      </c>
      <c r="L734" s="1">
        <v>35079.865604999999</v>
      </c>
    </row>
    <row r="735" spans="1:12" x14ac:dyDescent="0.35">
      <c r="A735" t="s">
        <v>758</v>
      </c>
      <c r="B735" t="s">
        <v>16</v>
      </c>
      <c r="C735" t="s">
        <v>19</v>
      </c>
      <c r="D735" t="s">
        <v>14</v>
      </c>
      <c r="E735" s="3">
        <v>545489</v>
      </c>
      <c r="F735">
        <v>0</v>
      </c>
      <c r="G735">
        <v>82</v>
      </c>
      <c r="H735" s="1">
        <v>36526</v>
      </c>
      <c r="I735" s="1" t="s">
        <v>1105</v>
      </c>
      <c r="J735" t="s">
        <v>17</v>
      </c>
      <c r="K735" s="2">
        <v>393.6</v>
      </c>
      <c r="L735" s="1">
        <v>35393.599999999999</v>
      </c>
    </row>
    <row r="736" spans="1:12" x14ac:dyDescent="0.35">
      <c r="A736" t="s">
        <v>759</v>
      </c>
      <c r="B736" t="s">
        <v>28</v>
      </c>
      <c r="C736" t="s">
        <v>19</v>
      </c>
      <c r="D736" t="s">
        <v>14</v>
      </c>
      <c r="E736" s="3">
        <v>770528</v>
      </c>
      <c r="F736">
        <v>25290</v>
      </c>
      <c r="G736">
        <v>66</v>
      </c>
      <c r="H736" s="1">
        <v>0</v>
      </c>
      <c r="I736" s="1" t="s">
        <v>1102</v>
      </c>
      <c r="J736" t="s">
        <v>11</v>
      </c>
      <c r="K736" s="2">
        <v>382.08589699999999</v>
      </c>
      <c r="L736" s="1">
        <v>35382.085897002296</v>
      </c>
    </row>
    <row r="737" spans="1:12" x14ac:dyDescent="0.35">
      <c r="A737" t="s">
        <v>760</v>
      </c>
      <c r="B737" t="s">
        <v>28</v>
      </c>
      <c r="C737" t="s">
        <v>13</v>
      </c>
      <c r="D737" t="s">
        <v>22</v>
      </c>
      <c r="E737" s="3">
        <v>703926</v>
      </c>
      <c r="F737">
        <v>24239</v>
      </c>
      <c r="G737">
        <v>88</v>
      </c>
      <c r="H737" s="1">
        <v>0</v>
      </c>
      <c r="I737" s="1" t="s">
        <v>1102</v>
      </c>
      <c r="J737" t="s">
        <v>11</v>
      </c>
      <c r="K737" s="2">
        <v>48.348318999999996</v>
      </c>
      <c r="L737" s="1">
        <v>35048.348319004603</v>
      </c>
    </row>
    <row r="738" spans="1:12" x14ac:dyDescent="0.35">
      <c r="A738" t="s">
        <v>761</v>
      </c>
      <c r="B738" t="s">
        <v>1</v>
      </c>
      <c r="C738" t="s">
        <v>19</v>
      </c>
      <c r="D738" t="s">
        <v>14</v>
      </c>
      <c r="E738" s="3">
        <v>883809</v>
      </c>
      <c r="F738">
        <v>82664</v>
      </c>
      <c r="G738">
        <v>114</v>
      </c>
      <c r="H738" s="1">
        <v>36586</v>
      </c>
      <c r="I738" s="1" t="s">
        <v>1102</v>
      </c>
      <c r="J738" t="s">
        <v>20</v>
      </c>
      <c r="K738" s="2">
        <v>133.42560900000001</v>
      </c>
      <c r="L738" s="1">
        <v>35133.425609004596</v>
      </c>
    </row>
    <row r="739" spans="1:12" x14ac:dyDescent="0.35">
      <c r="A739" t="s">
        <v>762</v>
      </c>
      <c r="B739" t="s">
        <v>28</v>
      </c>
      <c r="C739" t="s">
        <v>19</v>
      </c>
      <c r="D739" t="s">
        <v>14</v>
      </c>
      <c r="E739" s="3">
        <v>873353</v>
      </c>
      <c r="F739">
        <v>83210</v>
      </c>
      <c r="G739">
        <v>110</v>
      </c>
      <c r="H739" s="1">
        <v>0</v>
      </c>
      <c r="I739" s="1" t="s">
        <v>1102</v>
      </c>
      <c r="J739" t="s">
        <v>66</v>
      </c>
      <c r="K739" s="2">
        <v>528</v>
      </c>
      <c r="L739" s="1">
        <v>35528</v>
      </c>
    </row>
    <row r="740" spans="1:12" x14ac:dyDescent="0.35">
      <c r="A740" t="s">
        <v>763</v>
      </c>
      <c r="B740" t="s">
        <v>24</v>
      </c>
      <c r="C740" t="s">
        <v>13</v>
      </c>
      <c r="D740" t="s">
        <v>14</v>
      </c>
      <c r="E740" s="3">
        <v>959747</v>
      </c>
      <c r="F740">
        <v>38736</v>
      </c>
      <c r="G740">
        <v>81</v>
      </c>
      <c r="H740" s="1">
        <v>0</v>
      </c>
      <c r="I740" s="1" t="s">
        <v>1102</v>
      </c>
      <c r="J740" t="s">
        <v>17</v>
      </c>
      <c r="K740" s="2">
        <v>561.41479400000003</v>
      </c>
      <c r="L740" s="1">
        <v>35561.414794004602</v>
      </c>
    </row>
    <row r="741" spans="1:12" x14ac:dyDescent="0.35">
      <c r="A741" t="s">
        <v>764</v>
      </c>
      <c r="B741" t="s">
        <v>1</v>
      </c>
      <c r="C741" t="s">
        <v>19</v>
      </c>
      <c r="D741" t="s">
        <v>26</v>
      </c>
      <c r="E741" s="3">
        <v>450666</v>
      </c>
      <c r="F741">
        <v>0</v>
      </c>
      <c r="G741">
        <v>66</v>
      </c>
      <c r="H741" s="1">
        <v>0</v>
      </c>
      <c r="I741" s="1" t="s">
        <v>1102</v>
      </c>
      <c r="J741" t="s">
        <v>11</v>
      </c>
      <c r="K741" s="2">
        <v>316.8</v>
      </c>
      <c r="L741" s="1">
        <v>35316.800000000003</v>
      </c>
    </row>
    <row r="742" spans="1:12" x14ac:dyDescent="0.35">
      <c r="A742" t="s">
        <v>765</v>
      </c>
      <c r="B742" t="s">
        <v>24</v>
      </c>
      <c r="C742" t="s">
        <v>19</v>
      </c>
      <c r="D742" t="s">
        <v>26</v>
      </c>
      <c r="E742" s="3">
        <v>1785797</v>
      </c>
      <c r="F742">
        <v>55437</v>
      </c>
      <c r="G742">
        <v>64</v>
      </c>
      <c r="H742" s="1">
        <v>36526</v>
      </c>
      <c r="I742" s="1" t="s">
        <v>1102</v>
      </c>
      <c r="J742" t="s">
        <v>11</v>
      </c>
      <c r="K742" s="2">
        <v>445.28778799999998</v>
      </c>
      <c r="L742" s="1">
        <v>35445.287787997702</v>
      </c>
    </row>
    <row r="743" spans="1:12" x14ac:dyDescent="0.35">
      <c r="A743" t="s">
        <v>766</v>
      </c>
      <c r="B743" t="s">
        <v>8</v>
      </c>
      <c r="C743" t="s">
        <v>19</v>
      </c>
      <c r="D743" t="s">
        <v>14</v>
      </c>
      <c r="E743" s="3">
        <v>249781</v>
      </c>
      <c r="F743">
        <v>68041</v>
      </c>
      <c r="G743">
        <v>6464</v>
      </c>
      <c r="H743" s="1">
        <v>0</v>
      </c>
      <c r="I743" s="1" t="s">
        <v>1102</v>
      </c>
      <c r="J743" t="s">
        <v>17</v>
      </c>
      <c r="K743" s="2">
        <v>165.570243</v>
      </c>
      <c r="L743" s="1">
        <v>35165.570242997703</v>
      </c>
    </row>
    <row r="744" spans="1:12" x14ac:dyDescent="0.35">
      <c r="A744" t="s">
        <v>767</v>
      </c>
      <c r="B744" t="s">
        <v>24</v>
      </c>
      <c r="C744" t="s">
        <v>19</v>
      </c>
      <c r="D744" t="s">
        <v>10</v>
      </c>
      <c r="E744" s="3">
        <v>542614</v>
      </c>
      <c r="F744">
        <v>0</v>
      </c>
      <c r="G744">
        <v>71</v>
      </c>
      <c r="H744" s="1">
        <v>0</v>
      </c>
      <c r="I744" s="1" t="s">
        <v>1105</v>
      </c>
      <c r="J744" t="s">
        <v>11</v>
      </c>
      <c r="K744" s="2">
        <v>407.99684000000002</v>
      </c>
      <c r="L744" s="1">
        <v>35407.99684</v>
      </c>
    </row>
    <row r="745" spans="1:12" x14ac:dyDescent="0.35">
      <c r="A745" t="s">
        <v>768</v>
      </c>
      <c r="B745" t="s">
        <v>1</v>
      </c>
      <c r="C745" t="s">
        <v>13</v>
      </c>
      <c r="D745" t="s">
        <v>22</v>
      </c>
      <c r="E745" s="3">
        <v>799814</v>
      </c>
      <c r="F745">
        <v>29066</v>
      </c>
      <c r="G745">
        <v>100</v>
      </c>
      <c r="H745" s="1">
        <v>0</v>
      </c>
      <c r="I745" s="1" t="s">
        <v>1102</v>
      </c>
      <c r="J745" t="s">
        <v>20</v>
      </c>
      <c r="K745" s="2">
        <v>844.22947799999997</v>
      </c>
      <c r="L745" s="1">
        <v>35844.229477997702</v>
      </c>
    </row>
    <row r="746" spans="1:12" x14ac:dyDescent="0.35">
      <c r="A746" t="s">
        <v>769</v>
      </c>
      <c r="B746" t="s">
        <v>16</v>
      </c>
      <c r="C746" t="s">
        <v>19</v>
      </c>
      <c r="D746" t="s">
        <v>14</v>
      </c>
      <c r="E746" s="3">
        <v>289762</v>
      </c>
      <c r="F746">
        <v>54337</v>
      </c>
      <c r="G746">
        <v>72</v>
      </c>
      <c r="H746" s="1">
        <v>0</v>
      </c>
      <c r="I746" s="1" t="s">
        <v>1102</v>
      </c>
      <c r="J746" t="s">
        <v>11</v>
      </c>
      <c r="K746" s="2">
        <v>345.6</v>
      </c>
      <c r="L746" s="1">
        <v>35345.599999999999</v>
      </c>
    </row>
    <row r="747" spans="1:12" x14ac:dyDescent="0.35">
      <c r="A747" t="s">
        <v>770</v>
      </c>
      <c r="B747" t="s">
        <v>24</v>
      </c>
      <c r="C747" t="s">
        <v>13</v>
      </c>
      <c r="D747" t="s">
        <v>22</v>
      </c>
      <c r="E747" s="3">
        <v>1159950</v>
      </c>
      <c r="F747">
        <v>67616</v>
      </c>
      <c r="G747">
        <v>96</v>
      </c>
      <c r="H747" s="1">
        <v>0</v>
      </c>
      <c r="I747" s="1" t="s">
        <v>1102</v>
      </c>
      <c r="J747" t="s">
        <v>11</v>
      </c>
      <c r="K747" s="2">
        <v>340.30658399999999</v>
      </c>
      <c r="L747" s="1">
        <v>35340.306584004597</v>
      </c>
    </row>
    <row r="748" spans="1:12" x14ac:dyDescent="0.35">
      <c r="A748" t="s">
        <v>771</v>
      </c>
      <c r="B748" t="s">
        <v>1</v>
      </c>
      <c r="C748" t="s">
        <v>13</v>
      </c>
      <c r="D748" t="s">
        <v>14</v>
      </c>
      <c r="E748" s="3">
        <v>1514793</v>
      </c>
      <c r="F748">
        <v>41082</v>
      </c>
      <c r="G748">
        <v>63</v>
      </c>
      <c r="H748" s="1">
        <v>0</v>
      </c>
      <c r="I748" s="1" t="s">
        <v>1102</v>
      </c>
      <c r="J748" t="s">
        <v>17</v>
      </c>
      <c r="K748" s="2">
        <v>106.647493</v>
      </c>
      <c r="L748" s="1">
        <v>35106.647492997698</v>
      </c>
    </row>
    <row r="749" spans="1:12" x14ac:dyDescent="0.35">
      <c r="A749" t="s">
        <v>772</v>
      </c>
      <c r="B749" t="s">
        <v>8</v>
      </c>
      <c r="C749" t="s">
        <v>13</v>
      </c>
      <c r="D749" t="s">
        <v>22</v>
      </c>
      <c r="E749" s="3">
        <v>543577</v>
      </c>
      <c r="F749">
        <v>0</v>
      </c>
      <c r="G749">
        <v>10202</v>
      </c>
      <c r="H749" s="1">
        <v>0</v>
      </c>
      <c r="I749" s="1" t="s">
        <v>1102</v>
      </c>
      <c r="J749" t="s">
        <v>11</v>
      </c>
      <c r="K749" s="2">
        <v>626.11625900000001</v>
      </c>
      <c r="L749" s="1">
        <v>35626.116259004601</v>
      </c>
    </row>
    <row r="750" spans="1:12" x14ac:dyDescent="0.35">
      <c r="A750" t="s">
        <v>773</v>
      </c>
      <c r="B750" t="s">
        <v>16</v>
      </c>
      <c r="C750" t="s">
        <v>13</v>
      </c>
      <c r="D750" t="s">
        <v>10</v>
      </c>
      <c r="E750" s="3">
        <v>272536</v>
      </c>
      <c r="F750">
        <v>36650</v>
      </c>
      <c r="G750">
        <v>69</v>
      </c>
      <c r="H750" s="1">
        <v>36526</v>
      </c>
      <c r="I750" s="1" t="s">
        <v>1102</v>
      </c>
      <c r="J750" t="s">
        <v>11</v>
      </c>
      <c r="K750" s="2">
        <v>56.60333</v>
      </c>
      <c r="L750" s="1">
        <v>35056.603329999998</v>
      </c>
    </row>
    <row r="751" spans="1:12" x14ac:dyDescent="0.35">
      <c r="A751" t="s">
        <v>774</v>
      </c>
      <c r="B751" t="s">
        <v>24</v>
      </c>
      <c r="C751" t="s">
        <v>13</v>
      </c>
      <c r="D751" t="s">
        <v>26</v>
      </c>
      <c r="E751" s="3">
        <v>1329771</v>
      </c>
      <c r="F751">
        <v>50631</v>
      </c>
      <c r="G751">
        <v>112</v>
      </c>
      <c r="H751" s="1">
        <v>36617</v>
      </c>
      <c r="I751" s="1" t="s">
        <v>1112</v>
      </c>
      <c r="J751" t="s">
        <v>20</v>
      </c>
      <c r="K751" s="2">
        <v>784.65781000000004</v>
      </c>
      <c r="L751" s="1">
        <v>35784.657809999997</v>
      </c>
    </row>
    <row r="752" spans="1:12" x14ac:dyDescent="0.35">
      <c r="A752" t="s">
        <v>775</v>
      </c>
      <c r="B752" t="s">
        <v>1</v>
      </c>
      <c r="C752" t="s">
        <v>19</v>
      </c>
      <c r="D752" t="s">
        <v>26</v>
      </c>
      <c r="E752" s="3">
        <v>992705</v>
      </c>
      <c r="F752">
        <v>19592</v>
      </c>
      <c r="G752">
        <v>92</v>
      </c>
      <c r="H752" s="1">
        <v>0</v>
      </c>
      <c r="I752" s="1" t="s">
        <v>1102</v>
      </c>
      <c r="J752" t="s">
        <v>11</v>
      </c>
      <c r="K752" s="2">
        <v>441.6</v>
      </c>
      <c r="L752" s="1">
        <v>35441.599999999999</v>
      </c>
    </row>
    <row r="753" spans="1:12" x14ac:dyDescent="0.35">
      <c r="A753" t="s">
        <v>776</v>
      </c>
      <c r="B753" t="s">
        <v>8</v>
      </c>
      <c r="C753" t="s">
        <v>13</v>
      </c>
      <c r="D753" t="s">
        <v>22</v>
      </c>
      <c r="E753" s="3">
        <v>1777155</v>
      </c>
      <c r="F753">
        <v>0</v>
      </c>
      <c r="G753">
        <v>114</v>
      </c>
      <c r="H753" s="1">
        <v>0</v>
      </c>
      <c r="I753" s="1" t="s">
        <v>1102</v>
      </c>
      <c r="J753" t="s">
        <v>17</v>
      </c>
      <c r="K753" s="2">
        <v>547.20000000000005</v>
      </c>
      <c r="L753" s="1">
        <v>35547.199999999997</v>
      </c>
    </row>
    <row r="754" spans="1:12" x14ac:dyDescent="0.35">
      <c r="A754" t="s">
        <v>777</v>
      </c>
      <c r="B754" t="s">
        <v>28</v>
      </c>
      <c r="C754" t="s">
        <v>13</v>
      </c>
      <c r="D754" t="s">
        <v>26</v>
      </c>
      <c r="E754" s="3">
        <v>1826927</v>
      </c>
      <c r="F754">
        <v>55761</v>
      </c>
      <c r="G754">
        <v>115</v>
      </c>
      <c r="H754" s="1">
        <v>0</v>
      </c>
      <c r="I754" s="1" t="s">
        <v>1102</v>
      </c>
      <c r="J754" t="s">
        <v>66</v>
      </c>
      <c r="K754" s="2">
        <v>86.277720000000002</v>
      </c>
      <c r="L754" s="1">
        <v>35086.277719999998</v>
      </c>
    </row>
    <row r="755" spans="1:12" x14ac:dyDescent="0.35">
      <c r="A755" t="s">
        <v>778</v>
      </c>
      <c r="B755" t="s">
        <v>1</v>
      </c>
      <c r="C755" t="s">
        <v>13</v>
      </c>
      <c r="D755" t="s">
        <v>26</v>
      </c>
      <c r="E755" s="3">
        <v>272221</v>
      </c>
      <c r="F755">
        <v>17576</v>
      </c>
      <c r="G755">
        <v>71</v>
      </c>
      <c r="H755" s="1">
        <v>0</v>
      </c>
      <c r="I755" s="1" t="s">
        <v>1112</v>
      </c>
      <c r="J755" t="s">
        <v>11</v>
      </c>
      <c r="K755" s="2">
        <v>398.502948</v>
      </c>
      <c r="L755" s="1">
        <v>35398.502947997702</v>
      </c>
    </row>
    <row r="756" spans="1:12" x14ac:dyDescent="0.35">
      <c r="A756" t="s">
        <v>779</v>
      </c>
      <c r="B756" t="s">
        <v>1</v>
      </c>
      <c r="C756" t="s">
        <v>13</v>
      </c>
      <c r="D756" t="s">
        <v>14</v>
      </c>
      <c r="E756" s="3">
        <v>708321</v>
      </c>
      <c r="F756">
        <v>41449</v>
      </c>
      <c r="G756">
        <v>89</v>
      </c>
      <c r="H756" s="1">
        <v>0</v>
      </c>
      <c r="I756" s="1" t="s">
        <v>1102</v>
      </c>
      <c r="J756" t="s">
        <v>11</v>
      </c>
      <c r="K756" s="2">
        <v>63.516571999999996</v>
      </c>
      <c r="L756" s="1">
        <v>35063.5165720023</v>
      </c>
    </row>
    <row r="757" spans="1:12" x14ac:dyDescent="0.35">
      <c r="A757" t="s">
        <v>780</v>
      </c>
      <c r="B757" t="s">
        <v>1</v>
      </c>
      <c r="C757" t="s">
        <v>13</v>
      </c>
      <c r="D757" t="s">
        <v>14</v>
      </c>
      <c r="E757" s="3">
        <v>1017972</v>
      </c>
      <c r="F757">
        <v>14290</v>
      </c>
      <c r="G757">
        <v>271</v>
      </c>
      <c r="H757" s="1">
        <v>0</v>
      </c>
      <c r="I757" s="1" t="s">
        <v>1102</v>
      </c>
      <c r="J757" t="s">
        <v>53</v>
      </c>
      <c r="K757" s="2">
        <v>1300.8</v>
      </c>
      <c r="L757" s="1">
        <v>36300.800000000003</v>
      </c>
    </row>
    <row r="758" spans="1:12" x14ac:dyDescent="0.35">
      <c r="A758" t="s">
        <v>781</v>
      </c>
      <c r="B758" t="s">
        <v>16</v>
      </c>
      <c r="C758" t="s">
        <v>13</v>
      </c>
      <c r="D758" t="s">
        <v>26</v>
      </c>
      <c r="E758" s="3">
        <v>588951</v>
      </c>
      <c r="F758">
        <v>62007</v>
      </c>
      <c r="G758">
        <v>73</v>
      </c>
      <c r="H758" s="1">
        <v>0</v>
      </c>
      <c r="I758" s="1" t="s">
        <v>1102</v>
      </c>
      <c r="J758" t="s">
        <v>11</v>
      </c>
      <c r="K758" s="2">
        <v>120.015609</v>
      </c>
      <c r="L758" s="1">
        <v>35120.0156090046</v>
      </c>
    </row>
    <row r="759" spans="1:12" x14ac:dyDescent="0.35">
      <c r="A759" t="s">
        <v>782</v>
      </c>
      <c r="B759" t="s">
        <v>28</v>
      </c>
      <c r="C759" t="s">
        <v>19</v>
      </c>
      <c r="D759" t="s">
        <v>22</v>
      </c>
      <c r="E759" s="3">
        <v>1577139</v>
      </c>
      <c r="F759">
        <v>21921</v>
      </c>
      <c r="G759">
        <v>206</v>
      </c>
      <c r="H759" s="1">
        <v>0</v>
      </c>
      <c r="I759" s="1" t="s">
        <v>1105</v>
      </c>
      <c r="J759" t="s">
        <v>53</v>
      </c>
      <c r="K759" s="2">
        <v>1254.1378990000001</v>
      </c>
      <c r="L759" s="1">
        <v>36254.1378990046</v>
      </c>
    </row>
    <row r="760" spans="1:12" x14ac:dyDescent="0.35">
      <c r="A760" t="s">
        <v>783</v>
      </c>
      <c r="B760" t="s">
        <v>28</v>
      </c>
      <c r="C760" t="s">
        <v>13</v>
      </c>
      <c r="D760" t="s">
        <v>14</v>
      </c>
      <c r="E760" s="3">
        <v>528817</v>
      </c>
      <c r="F760">
        <v>42621</v>
      </c>
      <c r="G760">
        <v>66</v>
      </c>
      <c r="H760" s="1">
        <v>0</v>
      </c>
      <c r="I760" s="1" t="s">
        <v>1102</v>
      </c>
      <c r="J760" t="s">
        <v>11</v>
      </c>
      <c r="K760" s="2">
        <v>316.8</v>
      </c>
      <c r="L760" s="1">
        <v>35316.800000000003</v>
      </c>
    </row>
    <row r="761" spans="1:12" x14ac:dyDescent="0.35">
      <c r="A761" t="s">
        <v>784</v>
      </c>
      <c r="B761" t="s">
        <v>24</v>
      </c>
      <c r="C761" t="s">
        <v>19</v>
      </c>
      <c r="D761" t="s">
        <v>26</v>
      </c>
      <c r="E761" s="3">
        <v>2758055</v>
      </c>
      <c r="F761">
        <v>0</v>
      </c>
      <c r="G761">
        <v>87</v>
      </c>
      <c r="H761" s="1">
        <v>36526</v>
      </c>
      <c r="I761" s="1" t="s">
        <v>1102</v>
      </c>
      <c r="J761" t="s">
        <v>11</v>
      </c>
      <c r="K761" s="2">
        <v>417.6</v>
      </c>
      <c r="L761" s="1">
        <v>35417.599999999999</v>
      </c>
    </row>
    <row r="762" spans="1:12" x14ac:dyDescent="0.35">
      <c r="A762" t="s">
        <v>785</v>
      </c>
      <c r="B762" t="s">
        <v>8</v>
      </c>
      <c r="C762" t="s">
        <v>19</v>
      </c>
      <c r="D762" t="s">
        <v>22</v>
      </c>
      <c r="E762" s="3">
        <v>777853</v>
      </c>
      <c r="F762">
        <v>63786</v>
      </c>
      <c r="G762">
        <v>196</v>
      </c>
      <c r="H762" s="1">
        <v>0</v>
      </c>
      <c r="I762" s="1" t="s">
        <v>1105</v>
      </c>
      <c r="J762" t="s">
        <v>53</v>
      </c>
      <c r="K762" s="2">
        <v>798.00268900000003</v>
      </c>
      <c r="L762" s="1">
        <v>35798.002689004599</v>
      </c>
    </row>
    <row r="763" spans="1:12" x14ac:dyDescent="0.35">
      <c r="A763" t="s">
        <v>786</v>
      </c>
      <c r="B763" t="s">
        <v>1</v>
      </c>
      <c r="C763" t="s">
        <v>13</v>
      </c>
      <c r="D763" t="s">
        <v>22</v>
      </c>
      <c r="E763" s="3">
        <v>734186</v>
      </c>
      <c r="F763">
        <v>0</v>
      </c>
      <c r="G763">
        <v>104</v>
      </c>
      <c r="H763" s="1">
        <v>36586</v>
      </c>
      <c r="I763" s="1" t="s">
        <v>1102</v>
      </c>
      <c r="J763" t="s">
        <v>66</v>
      </c>
      <c r="K763" s="2">
        <v>82.041684000000004</v>
      </c>
      <c r="L763" s="1">
        <v>35082.041684004602</v>
      </c>
    </row>
    <row r="764" spans="1:12" x14ac:dyDescent="0.35">
      <c r="A764" t="s">
        <v>787</v>
      </c>
      <c r="B764" t="s">
        <v>1</v>
      </c>
      <c r="C764" t="s">
        <v>13</v>
      </c>
      <c r="D764" t="s">
        <v>22</v>
      </c>
      <c r="E764" s="3">
        <v>791920</v>
      </c>
      <c r="F764">
        <v>82877</v>
      </c>
      <c r="G764">
        <v>99</v>
      </c>
      <c r="H764" s="1">
        <v>36526</v>
      </c>
      <c r="I764" s="1" t="s">
        <v>1102</v>
      </c>
      <c r="J764" t="s">
        <v>17</v>
      </c>
      <c r="K764" s="2">
        <v>22.819088000000001</v>
      </c>
      <c r="L764" s="1">
        <v>35022.819087997697</v>
      </c>
    </row>
    <row r="765" spans="1:12" x14ac:dyDescent="0.35">
      <c r="A765" t="s">
        <v>788</v>
      </c>
      <c r="B765" t="s">
        <v>28</v>
      </c>
      <c r="C765" t="s">
        <v>19</v>
      </c>
      <c r="D765" t="s">
        <v>26</v>
      </c>
      <c r="E765" s="3">
        <v>216387</v>
      </c>
      <c r="F765">
        <v>0</v>
      </c>
      <c r="G765">
        <v>63</v>
      </c>
      <c r="H765" s="1">
        <v>0</v>
      </c>
      <c r="I765" s="1" t="s">
        <v>1105</v>
      </c>
      <c r="J765" t="s">
        <v>17</v>
      </c>
      <c r="K765" s="2">
        <v>302.39999999999998</v>
      </c>
      <c r="L765" s="1">
        <v>35302.400000000001</v>
      </c>
    </row>
    <row r="766" spans="1:12" x14ac:dyDescent="0.35">
      <c r="A766" t="s">
        <v>789</v>
      </c>
      <c r="B766" t="s">
        <v>16</v>
      </c>
      <c r="C766" t="s">
        <v>19</v>
      </c>
      <c r="D766" t="s">
        <v>22</v>
      </c>
      <c r="E766" s="3">
        <v>978781</v>
      </c>
      <c r="F766">
        <v>10475</v>
      </c>
      <c r="G766">
        <v>88</v>
      </c>
      <c r="H766" s="1">
        <v>36526</v>
      </c>
      <c r="I766" s="1" t="s">
        <v>1102</v>
      </c>
      <c r="J766" t="s">
        <v>17</v>
      </c>
      <c r="K766" s="2">
        <v>422.4</v>
      </c>
      <c r="L766" s="1">
        <v>35422.400000000001</v>
      </c>
    </row>
    <row r="767" spans="1:12" x14ac:dyDescent="0.35">
      <c r="A767" t="s">
        <v>790</v>
      </c>
      <c r="B767" t="s">
        <v>24</v>
      </c>
      <c r="C767" t="s">
        <v>13</v>
      </c>
      <c r="D767" t="s">
        <v>22</v>
      </c>
      <c r="E767" s="3">
        <v>520764</v>
      </c>
      <c r="F767">
        <v>21952</v>
      </c>
      <c r="G767">
        <v>66</v>
      </c>
      <c r="H767" s="1">
        <v>0</v>
      </c>
      <c r="I767" s="1" t="s">
        <v>1102</v>
      </c>
      <c r="J767" t="s">
        <v>11</v>
      </c>
      <c r="K767" s="2">
        <v>316.8</v>
      </c>
      <c r="L767" s="1">
        <v>35316.800000000003</v>
      </c>
    </row>
    <row r="768" spans="1:12" x14ac:dyDescent="0.35">
      <c r="A768" t="s">
        <v>791</v>
      </c>
      <c r="B768" t="s">
        <v>24</v>
      </c>
      <c r="C768" t="s">
        <v>13</v>
      </c>
      <c r="D768" t="s">
        <v>14</v>
      </c>
      <c r="E768" s="3">
        <v>2114728</v>
      </c>
      <c r="F768">
        <v>49721</v>
      </c>
      <c r="G768">
        <v>132</v>
      </c>
      <c r="H768" s="1">
        <v>0</v>
      </c>
      <c r="I768" s="1" t="s">
        <v>1105</v>
      </c>
      <c r="J768" t="s">
        <v>66</v>
      </c>
      <c r="K768" s="2">
        <v>639.97138800000005</v>
      </c>
      <c r="L768" s="1">
        <v>35639.971387997699</v>
      </c>
    </row>
    <row r="769" spans="1:12" x14ac:dyDescent="0.35">
      <c r="A769" t="s">
        <v>792</v>
      </c>
      <c r="B769" t="s">
        <v>1</v>
      </c>
      <c r="C769" t="s">
        <v>19</v>
      </c>
      <c r="D769" t="s">
        <v>26</v>
      </c>
      <c r="E769" s="3">
        <v>1228077</v>
      </c>
      <c r="F769">
        <v>88340</v>
      </c>
      <c r="G769">
        <v>102</v>
      </c>
      <c r="H769" s="1">
        <v>0</v>
      </c>
      <c r="I769" s="1" t="s">
        <v>1102</v>
      </c>
      <c r="J769" t="s">
        <v>17</v>
      </c>
      <c r="K769" s="2">
        <v>489.6</v>
      </c>
      <c r="L769" s="1">
        <v>35489.599999999999</v>
      </c>
    </row>
    <row r="770" spans="1:12" x14ac:dyDescent="0.35">
      <c r="A770" t="s">
        <v>793</v>
      </c>
      <c r="B770" t="s">
        <v>1</v>
      </c>
      <c r="C770" t="s">
        <v>13</v>
      </c>
      <c r="D770" t="s">
        <v>26</v>
      </c>
      <c r="E770" s="3">
        <v>244139</v>
      </c>
      <c r="F770">
        <v>0</v>
      </c>
      <c r="G770">
        <v>65</v>
      </c>
      <c r="H770" s="1">
        <v>0</v>
      </c>
      <c r="I770" s="1" t="s">
        <v>1102</v>
      </c>
      <c r="J770" t="s">
        <v>11</v>
      </c>
      <c r="K770" s="2">
        <v>312</v>
      </c>
      <c r="L770" s="1">
        <v>35312</v>
      </c>
    </row>
    <row r="771" spans="1:12" x14ac:dyDescent="0.35">
      <c r="A771" t="s">
        <v>794</v>
      </c>
      <c r="B771" t="s">
        <v>24</v>
      </c>
      <c r="C771" t="s">
        <v>19</v>
      </c>
      <c r="D771" t="s">
        <v>14</v>
      </c>
      <c r="E771" s="3">
        <v>653556</v>
      </c>
      <c r="F771">
        <v>0</v>
      </c>
      <c r="G771">
        <v>65</v>
      </c>
      <c r="H771" s="1">
        <v>0</v>
      </c>
      <c r="I771" s="1" t="s">
        <v>1105</v>
      </c>
      <c r="J771" t="s">
        <v>11</v>
      </c>
      <c r="K771" s="2">
        <v>468</v>
      </c>
      <c r="L771" s="1">
        <v>35468</v>
      </c>
    </row>
    <row r="772" spans="1:12" x14ac:dyDescent="0.35">
      <c r="A772" t="s">
        <v>795</v>
      </c>
      <c r="B772" t="s">
        <v>8</v>
      </c>
      <c r="C772" t="s">
        <v>13</v>
      </c>
      <c r="D772" t="s">
        <v>26</v>
      </c>
      <c r="E772" s="3">
        <v>920660</v>
      </c>
      <c r="F772">
        <v>24589</v>
      </c>
      <c r="G772">
        <v>82</v>
      </c>
      <c r="H772" s="1">
        <v>0</v>
      </c>
      <c r="I772" s="1" t="s">
        <v>1102</v>
      </c>
      <c r="J772" t="s">
        <v>17</v>
      </c>
      <c r="K772" s="2">
        <v>511.497882</v>
      </c>
      <c r="L772" s="1">
        <v>35511.497882002303</v>
      </c>
    </row>
    <row r="773" spans="1:12" x14ac:dyDescent="0.35">
      <c r="A773" t="s">
        <v>796</v>
      </c>
      <c r="B773" t="s">
        <v>1</v>
      </c>
      <c r="C773" t="s">
        <v>13</v>
      </c>
      <c r="D773" t="s">
        <v>14</v>
      </c>
      <c r="E773" s="3">
        <v>411859</v>
      </c>
      <c r="F773">
        <v>69379</v>
      </c>
      <c r="G773">
        <v>103</v>
      </c>
      <c r="H773" s="1">
        <v>0</v>
      </c>
      <c r="I773" s="1" t="s">
        <v>1102</v>
      </c>
      <c r="J773" t="s">
        <v>17</v>
      </c>
      <c r="K773" s="2">
        <v>494.4</v>
      </c>
      <c r="L773" s="1">
        <v>35494.400000000001</v>
      </c>
    </row>
    <row r="774" spans="1:12" x14ac:dyDescent="0.35">
      <c r="A774" t="s">
        <v>797</v>
      </c>
      <c r="B774" t="s">
        <v>16</v>
      </c>
      <c r="C774" t="s">
        <v>13</v>
      </c>
      <c r="D774" t="s">
        <v>14</v>
      </c>
      <c r="E774" s="3">
        <v>483821</v>
      </c>
      <c r="F774">
        <v>73769</v>
      </c>
      <c r="G774">
        <v>61</v>
      </c>
      <c r="H774" s="1">
        <v>36557</v>
      </c>
      <c r="I774" s="1" t="s">
        <v>1102</v>
      </c>
      <c r="J774" t="s">
        <v>11</v>
      </c>
      <c r="K774" s="2">
        <v>239.540223</v>
      </c>
      <c r="L774" s="1">
        <v>35239.540222997697</v>
      </c>
    </row>
    <row r="775" spans="1:12" x14ac:dyDescent="0.35">
      <c r="A775" t="s">
        <v>798</v>
      </c>
      <c r="B775" t="s">
        <v>1</v>
      </c>
      <c r="C775" t="s">
        <v>13</v>
      </c>
      <c r="D775" t="s">
        <v>26</v>
      </c>
      <c r="E775" s="3">
        <v>462555</v>
      </c>
      <c r="F775">
        <v>66670</v>
      </c>
      <c r="G775">
        <v>114</v>
      </c>
      <c r="H775" s="1">
        <v>0</v>
      </c>
      <c r="I775" s="1" t="s">
        <v>1102</v>
      </c>
      <c r="J775" t="s">
        <v>20</v>
      </c>
      <c r="K775" s="2">
        <v>518.18036400000005</v>
      </c>
      <c r="L775" s="1">
        <v>35518.180364004598</v>
      </c>
    </row>
    <row r="776" spans="1:12" x14ac:dyDescent="0.35">
      <c r="A776" t="s">
        <v>799</v>
      </c>
      <c r="B776" t="s">
        <v>28</v>
      </c>
      <c r="C776" t="s">
        <v>19</v>
      </c>
      <c r="D776" t="s">
        <v>14</v>
      </c>
      <c r="E776" s="3">
        <v>1404210</v>
      </c>
      <c r="F776">
        <v>88854</v>
      </c>
      <c r="G776">
        <v>118</v>
      </c>
      <c r="H776" s="1">
        <v>0</v>
      </c>
      <c r="I776" s="1" t="s">
        <v>1102</v>
      </c>
      <c r="J776" t="s">
        <v>17</v>
      </c>
      <c r="K776" s="2">
        <v>715.25236600000005</v>
      </c>
      <c r="L776" s="1">
        <v>35715.252365995402</v>
      </c>
    </row>
    <row r="777" spans="1:12" x14ac:dyDescent="0.35">
      <c r="A777" t="s">
        <v>800</v>
      </c>
      <c r="B777" t="s">
        <v>24</v>
      </c>
      <c r="C777" t="s">
        <v>19</v>
      </c>
      <c r="D777" t="s">
        <v>14</v>
      </c>
      <c r="E777" s="3">
        <v>754661</v>
      </c>
      <c r="F777">
        <v>31266</v>
      </c>
      <c r="G777">
        <v>193</v>
      </c>
      <c r="H777" s="1">
        <v>0</v>
      </c>
      <c r="I777" s="1" t="s">
        <v>1105</v>
      </c>
      <c r="J777" t="s">
        <v>104</v>
      </c>
      <c r="K777" s="2">
        <v>926.4</v>
      </c>
      <c r="L777" s="1">
        <v>35926.400000000001</v>
      </c>
    </row>
    <row r="778" spans="1:12" x14ac:dyDescent="0.35">
      <c r="A778" t="s">
        <v>801</v>
      </c>
      <c r="B778" t="s">
        <v>1</v>
      </c>
      <c r="C778" t="s">
        <v>13</v>
      </c>
      <c r="D778" t="s">
        <v>22</v>
      </c>
      <c r="E778" s="3">
        <v>251459</v>
      </c>
      <c r="F778">
        <v>43860</v>
      </c>
      <c r="G778">
        <v>65</v>
      </c>
      <c r="H778" s="1">
        <v>0</v>
      </c>
      <c r="I778" s="1" t="s">
        <v>1102</v>
      </c>
      <c r="J778" t="s">
        <v>11</v>
      </c>
      <c r="K778" s="2">
        <v>156.12491399999999</v>
      </c>
      <c r="L778" s="1">
        <v>35156.124914004598</v>
      </c>
    </row>
    <row r="779" spans="1:12" x14ac:dyDescent="0.35">
      <c r="A779" t="s">
        <v>802</v>
      </c>
      <c r="B779" t="s">
        <v>1</v>
      </c>
      <c r="C779" t="s">
        <v>19</v>
      </c>
      <c r="D779" t="s">
        <v>14</v>
      </c>
      <c r="E779" s="3">
        <v>517036</v>
      </c>
      <c r="F779">
        <v>89284</v>
      </c>
      <c r="G779">
        <v>133</v>
      </c>
      <c r="H779" s="1">
        <v>36557</v>
      </c>
      <c r="I779" s="1" t="s">
        <v>1105</v>
      </c>
      <c r="J779" t="s">
        <v>20</v>
      </c>
      <c r="K779" s="2">
        <v>402.070719</v>
      </c>
      <c r="L779" s="1">
        <v>35402.070719004601</v>
      </c>
    </row>
    <row r="780" spans="1:12" x14ac:dyDescent="0.35">
      <c r="A780" t="s">
        <v>803</v>
      </c>
      <c r="B780" t="s">
        <v>24</v>
      </c>
      <c r="C780" t="s">
        <v>19</v>
      </c>
      <c r="D780" t="s">
        <v>26</v>
      </c>
      <c r="E780" s="3">
        <v>1391738</v>
      </c>
      <c r="F780">
        <v>67267</v>
      </c>
      <c r="G780">
        <v>89</v>
      </c>
      <c r="H780" s="1">
        <v>0</v>
      </c>
      <c r="I780" s="1" t="s">
        <v>1105</v>
      </c>
      <c r="J780" t="s">
        <v>11</v>
      </c>
      <c r="K780" s="2">
        <v>94.814031999999997</v>
      </c>
      <c r="L780" s="1">
        <v>35094.814032002301</v>
      </c>
    </row>
    <row r="781" spans="1:12" x14ac:dyDescent="0.35">
      <c r="A781" t="s">
        <v>804</v>
      </c>
      <c r="B781" t="s">
        <v>1</v>
      </c>
      <c r="C781" t="s">
        <v>13</v>
      </c>
      <c r="D781" t="s">
        <v>22</v>
      </c>
      <c r="E781" s="3">
        <v>1131813</v>
      </c>
      <c r="F781">
        <v>79270</v>
      </c>
      <c r="G781">
        <v>95</v>
      </c>
      <c r="H781" s="1">
        <v>36586</v>
      </c>
      <c r="I781" s="1" t="s">
        <v>1102</v>
      </c>
      <c r="J781" t="s">
        <v>11</v>
      </c>
      <c r="K781" s="2">
        <v>456</v>
      </c>
      <c r="L781" s="1">
        <v>35456</v>
      </c>
    </row>
    <row r="782" spans="1:12" x14ac:dyDescent="0.35">
      <c r="A782" t="s">
        <v>805</v>
      </c>
      <c r="B782" t="s">
        <v>24</v>
      </c>
      <c r="C782" t="s">
        <v>19</v>
      </c>
      <c r="D782" t="s">
        <v>14</v>
      </c>
      <c r="E782" s="3">
        <v>427636</v>
      </c>
      <c r="F782">
        <v>36692</v>
      </c>
      <c r="G782">
        <v>109</v>
      </c>
      <c r="H782" s="1">
        <v>36526</v>
      </c>
      <c r="I782" s="1" t="s">
        <v>1102</v>
      </c>
      <c r="J782" t="s">
        <v>11</v>
      </c>
      <c r="K782" s="2">
        <v>523.20000000000005</v>
      </c>
      <c r="L782" s="1">
        <v>35523.199999999997</v>
      </c>
    </row>
    <row r="783" spans="1:12" x14ac:dyDescent="0.35">
      <c r="A783" t="s">
        <v>806</v>
      </c>
      <c r="B783" t="s">
        <v>24</v>
      </c>
      <c r="C783" t="s">
        <v>13</v>
      </c>
      <c r="D783" t="s">
        <v>22</v>
      </c>
      <c r="E783" s="3">
        <v>432224</v>
      </c>
      <c r="F783">
        <v>0</v>
      </c>
      <c r="G783">
        <v>119</v>
      </c>
      <c r="H783" s="1">
        <v>0</v>
      </c>
      <c r="I783" s="1" t="s">
        <v>1102</v>
      </c>
      <c r="J783" t="s">
        <v>20</v>
      </c>
      <c r="K783" s="2">
        <v>571.20000000000005</v>
      </c>
      <c r="L783" s="1">
        <v>35571.199999999997</v>
      </c>
    </row>
    <row r="784" spans="1:12" x14ac:dyDescent="0.35">
      <c r="A784" t="s">
        <v>807</v>
      </c>
      <c r="B784" t="s">
        <v>1</v>
      </c>
      <c r="C784" t="s">
        <v>13</v>
      </c>
      <c r="D784" t="s">
        <v>26</v>
      </c>
      <c r="E784" s="3">
        <v>800231</v>
      </c>
      <c r="F784">
        <v>0</v>
      </c>
      <c r="G784">
        <v>107</v>
      </c>
      <c r="H784" s="1">
        <v>0</v>
      </c>
      <c r="I784" s="1" t="s">
        <v>1105</v>
      </c>
      <c r="J784" t="s">
        <v>20</v>
      </c>
      <c r="K784" s="2">
        <v>513.6</v>
      </c>
      <c r="L784" s="1">
        <v>35513.599999999999</v>
      </c>
    </row>
    <row r="785" spans="1:12" x14ac:dyDescent="0.35">
      <c r="A785" t="s">
        <v>808</v>
      </c>
      <c r="B785" t="s">
        <v>16</v>
      </c>
      <c r="C785" t="s">
        <v>19</v>
      </c>
      <c r="D785" t="s">
        <v>26</v>
      </c>
      <c r="E785" s="3">
        <v>388546</v>
      </c>
      <c r="F785">
        <v>0</v>
      </c>
      <c r="G785">
        <v>105</v>
      </c>
      <c r="H785" s="1">
        <v>0</v>
      </c>
      <c r="I785" s="1" t="s">
        <v>1105</v>
      </c>
      <c r="J785" t="s">
        <v>11</v>
      </c>
      <c r="K785" s="2">
        <v>504</v>
      </c>
      <c r="L785" s="1">
        <v>35504</v>
      </c>
    </row>
    <row r="786" spans="1:12" x14ac:dyDescent="0.35">
      <c r="A786" t="s">
        <v>809</v>
      </c>
      <c r="B786" t="s">
        <v>24</v>
      </c>
      <c r="C786" t="s">
        <v>19</v>
      </c>
      <c r="D786" t="s">
        <v>26</v>
      </c>
      <c r="E786" s="3">
        <v>447178</v>
      </c>
      <c r="F786">
        <v>0</v>
      </c>
      <c r="G786">
        <v>135</v>
      </c>
      <c r="H786" s="1">
        <v>0</v>
      </c>
      <c r="I786" s="1" t="s">
        <v>1102</v>
      </c>
      <c r="J786" t="s">
        <v>20</v>
      </c>
      <c r="K786" s="2">
        <v>972</v>
      </c>
      <c r="L786" s="1">
        <v>35972</v>
      </c>
    </row>
    <row r="787" spans="1:12" x14ac:dyDescent="0.35">
      <c r="A787" t="s">
        <v>810</v>
      </c>
      <c r="B787" t="s">
        <v>1</v>
      </c>
      <c r="C787" t="s">
        <v>13</v>
      </c>
      <c r="D787" t="s">
        <v>22</v>
      </c>
      <c r="E787" s="3">
        <v>849635</v>
      </c>
      <c r="F787">
        <v>44624</v>
      </c>
      <c r="G787">
        <v>71</v>
      </c>
      <c r="H787" s="1">
        <v>36526</v>
      </c>
      <c r="I787" s="1" t="s">
        <v>1112</v>
      </c>
      <c r="J787" t="s">
        <v>11</v>
      </c>
      <c r="K787" s="2">
        <v>73.883043999999998</v>
      </c>
      <c r="L787" s="1">
        <v>35073.8830440046</v>
      </c>
    </row>
    <row r="788" spans="1:12" x14ac:dyDescent="0.35">
      <c r="A788" t="s">
        <v>811</v>
      </c>
      <c r="B788" t="s">
        <v>28</v>
      </c>
      <c r="C788" t="s">
        <v>13</v>
      </c>
      <c r="D788" t="s">
        <v>26</v>
      </c>
      <c r="E788" s="3">
        <v>2250088</v>
      </c>
      <c r="F788">
        <v>0</v>
      </c>
      <c r="G788">
        <v>71</v>
      </c>
      <c r="H788" s="1">
        <v>0</v>
      </c>
      <c r="I788" s="1" t="s">
        <v>1105</v>
      </c>
      <c r="J788" t="s">
        <v>11</v>
      </c>
      <c r="K788" s="2">
        <v>340.8</v>
      </c>
      <c r="L788" s="1">
        <v>35340.800000000003</v>
      </c>
    </row>
    <row r="789" spans="1:12" x14ac:dyDescent="0.35">
      <c r="A789" t="s">
        <v>812</v>
      </c>
      <c r="B789" t="s">
        <v>16</v>
      </c>
      <c r="C789" t="s">
        <v>13</v>
      </c>
      <c r="D789" t="s">
        <v>10</v>
      </c>
      <c r="E789" s="3">
        <v>1630197</v>
      </c>
      <c r="F789">
        <v>19614</v>
      </c>
      <c r="G789">
        <v>85</v>
      </c>
      <c r="H789" s="1">
        <v>0</v>
      </c>
      <c r="I789" s="1" t="s">
        <v>1102</v>
      </c>
      <c r="J789" t="s">
        <v>17</v>
      </c>
      <c r="K789" s="2">
        <v>574.02401799999996</v>
      </c>
      <c r="L789" s="1">
        <v>35574.024017997697</v>
      </c>
    </row>
    <row r="790" spans="1:12" x14ac:dyDescent="0.35">
      <c r="A790" t="s">
        <v>813</v>
      </c>
      <c r="B790" t="s">
        <v>24</v>
      </c>
      <c r="C790" t="s">
        <v>13</v>
      </c>
      <c r="D790" t="s">
        <v>26</v>
      </c>
      <c r="E790" s="3">
        <v>231974</v>
      </c>
      <c r="F790">
        <v>0</v>
      </c>
      <c r="G790">
        <v>64</v>
      </c>
      <c r="H790" s="1">
        <v>0</v>
      </c>
      <c r="I790" s="1" t="s">
        <v>1102</v>
      </c>
      <c r="J790" t="s">
        <v>11</v>
      </c>
      <c r="K790" s="2">
        <v>632.71538199999998</v>
      </c>
      <c r="L790" s="1">
        <v>35632.715382002301</v>
      </c>
    </row>
    <row r="791" spans="1:12" x14ac:dyDescent="0.35">
      <c r="A791" t="s">
        <v>814</v>
      </c>
      <c r="B791" t="s">
        <v>28</v>
      </c>
      <c r="C791" t="s">
        <v>19</v>
      </c>
      <c r="D791" t="s">
        <v>26</v>
      </c>
      <c r="E791" s="3">
        <v>871705</v>
      </c>
      <c r="F791">
        <v>83846</v>
      </c>
      <c r="G791">
        <v>74</v>
      </c>
      <c r="H791" s="1">
        <v>36586</v>
      </c>
      <c r="I791" s="1" t="s">
        <v>1112</v>
      </c>
      <c r="J791" t="s">
        <v>11</v>
      </c>
      <c r="K791" s="2">
        <v>355.2</v>
      </c>
      <c r="L791" s="1">
        <v>35355.199999999997</v>
      </c>
    </row>
    <row r="792" spans="1:12" x14ac:dyDescent="0.35">
      <c r="A792" t="s">
        <v>815</v>
      </c>
      <c r="B792" t="s">
        <v>8</v>
      </c>
      <c r="C792" t="s">
        <v>19</v>
      </c>
      <c r="D792" t="s">
        <v>26</v>
      </c>
      <c r="E792" s="3">
        <v>286011</v>
      </c>
      <c r="F792">
        <v>51159</v>
      </c>
      <c r="G792">
        <v>72</v>
      </c>
      <c r="H792" s="1">
        <v>0</v>
      </c>
      <c r="I792" s="1" t="s">
        <v>1102</v>
      </c>
      <c r="J792" t="s">
        <v>11</v>
      </c>
      <c r="K792" s="2">
        <v>4.238626</v>
      </c>
      <c r="L792" s="1">
        <v>35004.2386259954</v>
      </c>
    </row>
    <row r="793" spans="1:12" x14ac:dyDescent="0.35">
      <c r="A793" t="s">
        <v>816</v>
      </c>
      <c r="B793" t="s">
        <v>1</v>
      </c>
      <c r="C793" t="s">
        <v>19</v>
      </c>
      <c r="D793" t="s">
        <v>26</v>
      </c>
      <c r="E793" s="3">
        <v>245341</v>
      </c>
      <c r="F793">
        <v>83772</v>
      </c>
      <c r="G793">
        <v>62</v>
      </c>
      <c r="H793" s="1">
        <v>0</v>
      </c>
      <c r="I793" s="1" t="s">
        <v>1102</v>
      </c>
      <c r="J793" t="s">
        <v>17</v>
      </c>
      <c r="K793" s="2">
        <v>42.248086999999998</v>
      </c>
      <c r="L793" s="1">
        <v>35042.248087002299</v>
      </c>
    </row>
    <row r="794" spans="1:12" x14ac:dyDescent="0.35">
      <c r="A794" t="s">
        <v>817</v>
      </c>
      <c r="B794" t="s">
        <v>28</v>
      </c>
      <c r="C794" t="s">
        <v>19</v>
      </c>
      <c r="D794" t="s">
        <v>26</v>
      </c>
      <c r="E794" s="3">
        <v>598977</v>
      </c>
      <c r="F794">
        <v>66839</v>
      </c>
      <c r="G794">
        <v>154</v>
      </c>
      <c r="H794" s="1">
        <v>0</v>
      </c>
      <c r="I794" s="1" t="s">
        <v>1102</v>
      </c>
      <c r="J794" t="s">
        <v>66</v>
      </c>
      <c r="K794" s="2">
        <v>739.2</v>
      </c>
      <c r="L794" s="1">
        <v>35739.199999999997</v>
      </c>
    </row>
    <row r="795" spans="1:12" x14ac:dyDescent="0.35">
      <c r="A795" t="s">
        <v>818</v>
      </c>
      <c r="B795" t="s">
        <v>28</v>
      </c>
      <c r="C795" t="s">
        <v>13</v>
      </c>
      <c r="D795" t="s">
        <v>26</v>
      </c>
      <c r="E795" s="3">
        <v>2498023</v>
      </c>
      <c r="F795">
        <v>88440</v>
      </c>
      <c r="G795">
        <v>70</v>
      </c>
      <c r="H795" s="1">
        <v>0</v>
      </c>
      <c r="I795" s="1" t="s">
        <v>1102</v>
      </c>
      <c r="J795" t="s">
        <v>17</v>
      </c>
      <c r="K795" s="2">
        <v>27.145150999999998</v>
      </c>
      <c r="L795" s="1">
        <v>35027.145150995399</v>
      </c>
    </row>
    <row r="796" spans="1:12" x14ac:dyDescent="0.35">
      <c r="A796" t="s">
        <v>819</v>
      </c>
      <c r="B796" t="s">
        <v>28</v>
      </c>
      <c r="C796" t="s">
        <v>13</v>
      </c>
      <c r="D796" t="s">
        <v>10</v>
      </c>
      <c r="E796" s="3">
        <v>748264</v>
      </c>
      <c r="F796">
        <v>25666</v>
      </c>
      <c r="G796">
        <v>63</v>
      </c>
      <c r="H796" s="1">
        <v>36557</v>
      </c>
      <c r="I796" s="1" t="s">
        <v>1102</v>
      </c>
      <c r="J796" t="s">
        <v>11</v>
      </c>
      <c r="K796" s="2">
        <v>270.00276600000001</v>
      </c>
      <c r="L796" s="1">
        <v>35270.002765995399</v>
      </c>
    </row>
    <row r="797" spans="1:12" x14ac:dyDescent="0.35">
      <c r="A797" t="s">
        <v>820</v>
      </c>
      <c r="B797" t="s">
        <v>24</v>
      </c>
      <c r="C797" t="s">
        <v>13</v>
      </c>
      <c r="D797" t="s">
        <v>22</v>
      </c>
      <c r="E797" s="3">
        <v>245758</v>
      </c>
      <c r="F797">
        <v>52926</v>
      </c>
      <c r="G797">
        <v>61</v>
      </c>
      <c r="H797" s="1">
        <v>0</v>
      </c>
      <c r="I797" s="1" t="s">
        <v>1102</v>
      </c>
      <c r="J797" t="s">
        <v>11</v>
      </c>
      <c r="K797" s="2">
        <v>292.8</v>
      </c>
      <c r="L797" s="1">
        <v>35292.800000000003</v>
      </c>
    </row>
    <row r="798" spans="1:12" x14ac:dyDescent="0.35">
      <c r="A798" t="s">
        <v>821</v>
      </c>
      <c r="B798" t="s">
        <v>16</v>
      </c>
      <c r="C798" t="s">
        <v>13</v>
      </c>
      <c r="D798" t="s">
        <v>14</v>
      </c>
      <c r="E798" s="3">
        <v>237974</v>
      </c>
      <c r="F798">
        <v>0</v>
      </c>
      <c r="G798">
        <v>67</v>
      </c>
      <c r="H798" s="1">
        <v>0</v>
      </c>
      <c r="I798" s="1" t="s">
        <v>1102</v>
      </c>
      <c r="J798" t="s">
        <v>11</v>
      </c>
      <c r="K798" s="2">
        <v>494.946438</v>
      </c>
      <c r="L798" s="1">
        <v>35494.9464379977</v>
      </c>
    </row>
    <row r="799" spans="1:12" x14ac:dyDescent="0.35">
      <c r="A799" t="s">
        <v>822</v>
      </c>
      <c r="B799" t="s">
        <v>8</v>
      </c>
      <c r="C799" t="s">
        <v>13</v>
      </c>
      <c r="D799" t="s">
        <v>14</v>
      </c>
      <c r="E799" s="3">
        <v>828696</v>
      </c>
      <c r="F799">
        <v>40001</v>
      </c>
      <c r="G799">
        <v>70</v>
      </c>
      <c r="H799" s="1">
        <v>0</v>
      </c>
      <c r="I799" s="1" t="s">
        <v>1102</v>
      </c>
      <c r="J799" t="s">
        <v>11</v>
      </c>
      <c r="K799" s="2">
        <v>142.56700799999999</v>
      </c>
      <c r="L799" s="1">
        <v>35142.567007997699</v>
      </c>
    </row>
    <row r="800" spans="1:12" x14ac:dyDescent="0.35">
      <c r="A800" t="s">
        <v>823</v>
      </c>
      <c r="B800" t="s">
        <v>1</v>
      </c>
      <c r="C800" t="s">
        <v>19</v>
      </c>
      <c r="D800" t="s">
        <v>26</v>
      </c>
      <c r="E800" s="3">
        <v>239392</v>
      </c>
      <c r="F800">
        <v>0</v>
      </c>
      <c r="G800">
        <v>70</v>
      </c>
      <c r="H800" s="1">
        <v>0</v>
      </c>
      <c r="I800" s="1" t="s">
        <v>1102</v>
      </c>
      <c r="J800" t="s">
        <v>11</v>
      </c>
      <c r="K800" s="2">
        <v>425.26630799999998</v>
      </c>
      <c r="L800" s="1">
        <v>35425.266307997699</v>
      </c>
    </row>
    <row r="801" spans="1:12" x14ac:dyDescent="0.35">
      <c r="A801" t="s">
        <v>824</v>
      </c>
      <c r="B801" t="s">
        <v>24</v>
      </c>
      <c r="C801" t="s">
        <v>19</v>
      </c>
      <c r="D801" t="s">
        <v>26</v>
      </c>
      <c r="E801" s="3">
        <v>465716</v>
      </c>
      <c r="F801">
        <v>18024</v>
      </c>
      <c r="G801">
        <v>65</v>
      </c>
      <c r="H801" s="1">
        <v>0</v>
      </c>
      <c r="I801" s="1" t="s">
        <v>1102</v>
      </c>
      <c r="J801" t="s">
        <v>17</v>
      </c>
      <c r="K801" s="2">
        <v>312</v>
      </c>
      <c r="L801" s="1">
        <v>35312</v>
      </c>
    </row>
    <row r="802" spans="1:12" x14ac:dyDescent="0.35">
      <c r="A802" t="s">
        <v>825</v>
      </c>
      <c r="B802" t="s">
        <v>24</v>
      </c>
      <c r="C802" t="s">
        <v>13</v>
      </c>
      <c r="D802" t="s">
        <v>26</v>
      </c>
      <c r="E802" s="3">
        <v>1319793</v>
      </c>
      <c r="F802">
        <v>0</v>
      </c>
      <c r="G802">
        <v>68</v>
      </c>
      <c r="H802" s="1">
        <v>36586</v>
      </c>
      <c r="I802" s="1" t="s">
        <v>1102</v>
      </c>
      <c r="J802" t="s">
        <v>11</v>
      </c>
      <c r="K802" s="2">
        <v>326.39999999999998</v>
      </c>
      <c r="L802" s="1">
        <v>35326.400000000001</v>
      </c>
    </row>
    <row r="803" spans="1:12" x14ac:dyDescent="0.35">
      <c r="A803" t="s">
        <v>826</v>
      </c>
      <c r="B803" t="s">
        <v>24</v>
      </c>
      <c r="C803" t="s">
        <v>13</v>
      </c>
      <c r="D803" t="s">
        <v>14</v>
      </c>
      <c r="E803" s="3">
        <v>280392</v>
      </c>
      <c r="F803">
        <v>23220</v>
      </c>
      <c r="G803">
        <v>74</v>
      </c>
      <c r="H803" s="1">
        <v>0</v>
      </c>
      <c r="I803" s="1" t="s">
        <v>1102</v>
      </c>
      <c r="J803" t="s">
        <v>11</v>
      </c>
      <c r="K803" s="2">
        <v>251.334247</v>
      </c>
      <c r="L803" s="1">
        <v>35251.334247002298</v>
      </c>
    </row>
    <row r="804" spans="1:12" x14ac:dyDescent="0.35">
      <c r="A804" t="s">
        <v>827</v>
      </c>
      <c r="B804" t="s">
        <v>1</v>
      </c>
      <c r="C804" t="s">
        <v>13</v>
      </c>
      <c r="D804" t="s">
        <v>22</v>
      </c>
      <c r="E804" s="3">
        <v>864650</v>
      </c>
      <c r="F804">
        <v>64125</v>
      </c>
      <c r="G804">
        <v>108</v>
      </c>
      <c r="H804" s="1">
        <v>0</v>
      </c>
      <c r="I804" s="1" t="s">
        <v>1102</v>
      </c>
      <c r="J804" t="s">
        <v>20</v>
      </c>
      <c r="K804" s="2">
        <v>369.81870800000002</v>
      </c>
      <c r="L804" s="1">
        <v>35369.8187079977</v>
      </c>
    </row>
    <row r="805" spans="1:12" x14ac:dyDescent="0.35">
      <c r="A805" t="s">
        <v>828</v>
      </c>
      <c r="B805" t="s">
        <v>24</v>
      </c>
      <c r="C805" t="s">
        <v>13</v>
      </c>
      <c r="D805" t="s">
        <v>26</v>
      </c>
      <c r="E805" s="3">
        <v>742587</v>
      </c>
      <c r="F805">
        <v>58042</v>
      </c>
      <c r="G805">
        <v>62</v>
      </c>
      <c r="H805" s="1">
        <v>0</v>
      </c>
      <c r="I805" s="1" t="s">
        <v>1105</v>
      </c>
      <c r="J805" t="s">
        <v>11</v>
      </c>
      <c r="K805" s="2">
        <v>161.41952800000001</v>
      </c>
      <c r="L805" s="1">
        <v>35161.419527997699</v>
      </c>
    </row>
    <row r="806" spans="1:12" x14ac:dyDescent="0.35">
      <c r="A806" t="s">
        <v>829</v>
      </c>
      <c r="B806" t="s">
        <v>24</v>
      </c>
      <c r="C806" t="s">
        <v>13</v>
      </c>
      <c r="D806" t="s">
        <v>22</v>
      </c>
      <c r="E806" s="3">
        <v>452874</v>
      </c>
      <c r="F806">
        <v>90034</v>
      </c>
      <c r="G806">
        <v>112</v>
      </c>
      <c r="H806" s="1">
        <v>0</v>
      </c>
      <c r="I806" s="1" t="s">
        <v>1105</v>
      </c>
      <c r="J806" t="s">
        <v>20</v>
      </c>
      <c r="K806" s="2">
        <v>537.6</v>
      </c>
      <c r="L806" s="1">
        <v>35537.599999999999</v>
      </c>
    </row>
    <row r="807" spans="1:12" x14ac:dyDescent="0.35">
      <c r="A807" t="s">
        <v>830</v>
      </c>
      <c r="B807" t="s">
        <v>16</v>
      </c>
      <c r="C807" t="s">
        <v>19</v>
      </c>
      <c r="D807" t="s">
        <v>22</v>
      </c>
      <c r="E807" s="3">
        <v>222707</v>
      </c>
      <c r="F807">
        <v>27972</v>
      </c>
      <c r="G807">
        <v>61</v>
      </c>
      <c r="H807" s="1">
        <v>0</v>
      </c>
      <c r="I807" s="1" t="s">
        <v>1112</v>
      </c>
      <c r="J807" t="s">
        <v>11</v>
      </c>
      <c r="K807" s="2">
        <v>292.8</v>
      </c>
      <c r="L807" s="1">
        <v>35292.800000000003</v>
      </c>
    </row>
    <row r="808" spans="1:12" x14ac:dyDescent="0.35">
      <c r="A808" t="s">
        <v>831</v>
      </c>
      <c r="B808" t="s">
        <v>1</v>
      </c>
      <c r="C808" t="s">
        <v>13</v>
      </c>
      <c r="D808" t="s">
        <v>22</v>
      </c>
      <c r="E808" s="3">
        <v>729295</v>
      </c>
      <c r="F808">
        <v>0</v>
      </c>
      <c r="G808">
        <v>65</v>
      </c>
      <c r="H808" s="1">
        <v>0</v>
      </c>
      <c r="I808" s="1" t="s">
        <v>1102</v>
      </c>
      <c r="J808" t="s">
        <v>11</v>
      </c>
      <c r="K808" s="2">
        <v>312</v>
      </c>
      <c r="L808" s="1">
        <v>35312</v>
      </c>
    </row>
    <row r="809" spans="1:12" x14ac:dyDescent="0.35">
      <c r="A809" t="s">
        <v>832</v>
      </c>
      <c r="B809" t="s">
        <v>28</v>
      </c>
      <c r="C809" t="s">
        <v>19</v>
      </c>
      <c r="D809" t="s">
        <v>14</v>
      </c>
      <c r="E809" s="3">
        <v>318436</v>
      </c>
      <c r="F809">
        <v>50989</v>
      </c>
      <c r="G809">
        <v>80</v>
      </c>
      <c r="H809" s="1">
        <v>0</v>
      </c>
      <c r="I809" s="1" t="s">
        <v>1105</v>
      </c>
      <c r="J809" t="s">
        <v>11</v>
      </c>
      <c r="K809" s="2">
        <v>255.999709</v>
      </c>
      <c r="L809" s="1">
        <v>35255.999709004602</v>
      </c>
    </row>
    <row r="810" spans="1:12" x14ac:dyDescent="0.35">
      <c r="A810" t="s">
        <v>833</v>
      </c>
      <c r="B810" t="s">
        <v>28</v>
      </c>
      <c r="C810" t="s">
        <v>13</v>
      </c>
      <c r="D810" t="s">
        <v>14</v>
      </c>
      <c r="E810" s="3">
        <v>1131520</v>
      </c>
      <c r="F810">
        <v>11885</v>
      </c>
      <c r="G810">
        <v>101</v>
      </c>
      <c r="H810" s="1">
        <v>0</v>
      </c>
      <c r="I810" s="1" t="s">
        <v>1112</v>
      </c>
      <c r="J810" t="s">
        <v>11</v>
      </c>
      <c r="K810" s="2">
        <v>484.8</v>
      </c>
      <c r="L810" s="1">
        <v>35484.800000000003</v>
      </c>
    </row>
    <row r="811" spans="1:12" x14ac:dyDescent="0.35">
      <c r="A811" t="s">
        <v>834</v>
      </c>
      <c r="B811" t="s">
        <v>1</v>
      </c>
      <c r="C811" t="s">
        <v>13</v>
      </c>
      <c r="D811" t="s">
        <v>14</v>
      </c>
      <c r="E811" s="3">
        <v>253071</v>
      </c>
      <c r="F811">
        <v>89451</v>
      </c>
      <c r="G811">
        <v>63</v>
      </c>
      <c r="H811" s="1">
        <v>0</v>
      </c>
      <c r="I811" s="1" t="s">
        <v>1112</v>
      </c>
      <c r="J811" t="s">
        <v>11</v>
      </c>
      <c r="K811" s="2">
        <v>61.769564000000003</v>
      </c>
      <c r="L811" s="1">
        <v>35061.7695640046</v>
      </c>
    </row>
    <row r="812" spans="1:12" x14ac:dyDescent="0.35">
      <c r="A812" t="s">
        <v>835</v>
      </c>
      <c r="B812" t="s">
        <v>24</v>
      </c>
      <c r="C812" t="s">
        <v>19</v>
      </c>
      <c r="D812" t="s">
        <v>14</v>
      </c>
      <c r="E812" s="3">
        <v>1836156</v>
      </c>
      <c r="F812">
        <v>0</v>
      </c>
      <c r="G812">
        <v>182</v>
      </c>
      <c r="H812" s="1">
        <v>0</v>
      </c>
      <c r="I812" s="1" t="s">
        <v>1102</v>
      </c>
      <c r="J812" t="s">
        <v>104</v>
      </c>
      <c r="K812" s="2">
        <v>1310.4000000000001</v>
      </c>
      <c r="L812" s="1">
        <v>36310.400000000001</v>
      </c>
    </row>
    <row r="813" spans="1:12" x14ac:dyDescent="0.35">
      <c r="A813" t="s">
        <v>836</v>
      </c>
      <c r="B813" t="s">
        <v>8</v>
      </c>
      <c r="C813" t="s">
        <v>19</v>
      </c>
      <c r="D813" t="s">
        <v>14</v>
      </c>
      <c r="E813" s="3">
        <v>864153</v>
      </c>
      <c r="F813">
        <v>78904</v>
      </c>
      <c r="G813">
        <v>109</v>
      </c>
      <c r="H813" s="1">
        <v>0</v>
      </c>
      <c r="I813" s="1" t="s">
        <v>1102</v>
      </c>
      <c r="J813" t="s">
        <v>20</v>
      </c>
      <c r="K813" s="2">
        <v>250.00142399999999</v>
      </c>
      <c r="L813" s="1">
        <v>35250.0014240046</v>
      </c>
    </row>
    <row r="814" spans="1:12" x14ac:dyDescent="0.35">
      <c r="A814" t="s">
        <v>837</v>
      </c>
      <c r="B814" t="s">
        <v>28</v>
      </c>
      <c r="C814" t="s">
        <v>19</v>
      </c>
      <c r="D814" t="s">
        <v>68</v>
      </c>
      <c r="E814" s="3">
        <v>327853</v>
      </c>
      <c r="F814">
        <v>70247</v>
      </c>
      <c r="G814">
        <v>83</v>
      </c>
      <c r="H814" s="1">
        <v>36526</v>
      </c>
      <c r="I814" s="1" t="s">
        <v>1102</v>
      </c>
      <c r="J814" t="s">
        <v>11</v>
      </c>
      <c r="K814" s="2">
        <v>141.79942199999999</v>
      </c>
      <c r="L814" s="1">
        <v>35141.799422002303</v>
      </c>
    </row>
    <row r="815" spans="1:12" x14ac:dyDescent="0.35">
      <c r="A815" t="s">
        <v>838</v>
      </c>
      <c r="B815" t="s">
        <v>28</v>
      </c>
      <c r="C815" t="s">
        <v>19</v>
      </c>
      <c r="D815" t="s">
        <v>22</v>
      </c>
      <c r="E815" s="3">
        <v>527198</v>
      </c>
      <c r="F815">
        <v>32653</v>
      </c>
      <c r="G815">
        <v>67</v>
      </c>
      <c r="H815" s="1">
        <v>0</v>
      </c>
      <c r="I815" s="1" t="s">
        <v>1102</v>
      </c>
      <c r="J815" t="s">
        <v>17</v>
      </c>
      <c r="K815" s="2">
        <v>321.60000000000002</v>
      </c>
      <c r="L815" s="1">
        <v>35321.599999999999</v>
      </c>
    </row>
    <row r="816" spans="1:12" x14ac:dyDescent="0.35">
      <c r="A816" t="s">
        <v>839</v>
      </c>
      <c r="B816" t="s">
        <v>8</v>
      </c>
      <c r="C816" t="s">
        <v>19</v>
      </c>
      <c r="D816" t="s">
        <v>22</v>
      </c>
      <c r="E816" s="3">
        <v>376364</v>
      </c>
      <c r="F816">
        <v>93595</v>
      </c>
      <c r="G816">
        <v>97</v>
      </c>
      <c r="H816" s="1">
        <v>36617</v>
      </c>
      <c r="I816" s="1" t="s">
        <v>1112</v>
      </c>
      <c r="J816" t="s">
        <v>11</v>
      </c>
      <c r="K816" s="2">
        <v>49.797015999999999</v>
      </c>
      <c r="L816" s="1">
        <v>35049.797015995398</v>
      </c>
    </row>
    <row r="817" spans="1:12" x14ac:dyDescent="0.35">
      <c r="A817" t="s">
        <v>840</v>
      </c>
      <c r="B817" t="s">
        <v>1</v>
      </c>
      <c r="C817" t="s">
        <v>19</v>
      </c>
      <c r="D817" t="s">
        <v>10</v>
      </c>
      <c r="E817" s="3">
        <v>1395557</v>
      </c>
      <c r="F817">
        <v>90279</v>
      </c>
      <c r="G817">
        <v>115</v>
      </c>
      <c r="H817" s="1">
        <v>0</v>
      </c>
      <c r="I817" s="1" t="s">
        <v>1102</v>
      </c>
      <c r="J817" t="s">
        <v>20</v>
      </c>
      <c r="K817" s="2">
        <v>372.17559199999999</v>
      </c>
      <c r="L817" s="1">
        <v>35372.175592002299</v>
      </c>
    </row>
    <row r="818" spans="1:12" x14ac:dyDescent="0.35">
      <c r="A818" t="s">
        <v>841</v>
      </c>
      <c r="B818" t="s">
        <v>24</v>
      </c>
      <c r="C818" t="s">
        <v>13</v>
      </c>
      <c r="D818" t="s">
        <v>26</v>
      </c>
      <c r="E818" s="3">
        <v>500153</v>
      </c>
      <c r="F818">
        <v>0</v>
      </c>
      <c r="G818">
        <v>72</v>
      </c>
      <c r="H818" s="1">
        <v>0</v>
      </c>
      <c r="I818" s="1" t="s">
        <v>1102</v>
      </c>
      <c r="J818" t="s">
        <v>11</v>
      </c>
      <c r="K818" s="2">
        <v>542.14385000000004</v>
      </c>
      <c r="L818" s="1">
        <v>35542.14385</v>
      </c>
    </row>
    <row r="819" spans="1:12" x14ac:dyDescent="0.35">
      <c r="A819" t="s">
        <v>842</v>
      </c>
      <c r="B819" t="s">
        <v>1</v>
      </c>
      <c r="C819" t="s">
        <v>19</v>
      </c>
      <c r="D819" t="s">
        <v>14</v>
      </c>
      <c r="E819" s="3">
        <v>708283</v>
      </c>
      <c r="F819">
        <v>53310</v>
      </c>
      <c r="G819">
        <v>189</v>
      </c>
      <c r="H819" s="1">
        <v>36586</v>
      </c>
      <c r="I819" s="1" t="s">
        <v>1102</v>
      </c>
      <c r="J819" t="s">
        <v>104</v>
      </c>
      <c r="K819" s="2">
        <v>1360.8</v>
      </c>
      <c r="L819" s="1">
        <v>36360.800000000003</v>
      </c>
    </row>
    <row r="820" spans="1:12" x14ac:dyDescent="0.35">
      <c r="A820" t="s">
        <v>843</v>
      </c>
      <c r="B820" t="s">
        <v>1</v>
      </c>
      <c r="C820" t="s">
        <v>19</v>
      </c>
      <c r="D820" t="s">
        <v>26</v>
      </c>
      <c r="E820" s="3">
        <v>761948</v>
      </c>
      <c r="F820">
        <v>0</v>
      </c>
      <c r="G820">
        <v>105</v>
      </c>
      <c r="H820" s="1">
        <v>0</v>
      </c>
      <c r="I820" s="1" t="s">
        <v>1102</v>
      </c>
      <c r="J820" t="s">
        <v>11</v>
      </c>
      <c r="K820" s="2">
        <v>504</v>
      </c>
      <c r="L820" s="1">
        <v>35504</v>
      </c>
    </row>
    <row r="821" spans="1:12" x14ac:dyDescent="0.35">
      <c r="A821" t="s">
        <v>844</v>
      </c>
      <c r="B821" t="s">
        <v>24</v>
      </c>
      <c r="C821" t="s">
        <v>13</v>
      </c>
      <c r="D821" t="s">
        <v>14</v>
      </c>
      <c r="E821" s="3">
        <v>1255088</v>
      </c>
      <c r="F821">
        <v>22234</v>
      </c>
      <c r="G821">
        <v>160</v>
      </c>
      <c r="H821" s="1">
        <v>0</v>
      </c>
      <c r="I821" s="1" t="s">
        <v>1102</v>
      </c>
      <c r="J821" t="s">
        <v>20</v>
      </c>
      <c r="K821" s="2">
        <v>768</v>
      </c>
      <c r="L821" s="1">
        <v>35768</v>
      </c>
    </row>
    <row r="822" spans="1:12" x14ac:dyDescent="0.35">
      <c r="A822" t="s">
        <v>845</v>
      </c>
      <c r="B822" t="s">
        <v>8</v>
      </c>
      <c r="C822" t="s">
        <v>13</v>
      </c>
      <c r="D822" t="s">
        <v>22</v>
      </c>
      <c r="E822" s="3">
        <v>3219660</v>
      </c>
      <c r="F822">
        <v>91375</v>
      </c>
      <c r="G822">
        <v>99</v>
      </c>
      <c r="H822" s="1">
        <v>0</v>
      </c>
      <c r="I822" s="1" t="s">
        <v>1102</v>
      </c>
      <c r="J822" t="s">
        <v>17</v>
      </c>
      <c r="K822" s="2">
        <v>72.632934000000006</v>
      </c>
      <c r="L822" s="1">
        <v>35072.6329340046</v>
      </c>
    </row>
    <row r="823" spans="1:12" x14ac:dyDescent="0.35">
      <c r="A823" t="s">
        <v>846</v>
      </c>
      <c r="B823" t="s">
        <v>16</v>
      </c>
      <c r="C823" t="s">
        <v>13</v>
      </c>
      <c r="D823" t="s">
        <v>22</v>
      </c>
      <c r="E823" s="3">
        <v>679377</v>
      </c>
      <c r="F823">
        <v>22250</v>
      </c>
      <c r="G823">
        <v>86</v>
      </c>
      <c r="H823" s="1">
        <v>0</v>
      </c>
      <c r="I823" s="1" t="s">
        <v>1102</v>
      </c>
      <c r="J823" t="s">
        <v>17</v>
      </c>
      <c r="K823" s="2">
        <v>720.60142900000005</v>
      </c>
      <c r="L823" s="1">
        <v>35720.601429004601</v>
      </c>
    </row>
    <row r="824" spans="1:12" x14ac:dyDescent="0.35">
      <c r="A824" t="s">
        <v>847</v>
      </c>
      <c r="B824" t="s">
        <v>24</v>
      </c>
      <c r="C824" t="s">
        <v>19</v>
      </c>
      <c r="D824" t="s">
        <v>14</v>
      </c>
      <c r="E824" s="3">
        <v>527232</v>
      </c>
      <c r="F824">
        <v>0</v>
      </c>
      <c r="G824">
        <v>80</v>
      </c>
      <c r="H824" s="1">
        <v>0</v>
      </c>
      <c r="I824" s="1" t="s">
        <v>1102</v>
      </c>
      <c r="J824" t="s">
        <v>11</v>
      </c>
      <c r="K824" s="2">
        <v>576</v>
      </c>
      <c r="L824" s="1">
        <v>35576</v>
      </c>
    </row>
    <row r="825" spans="1:12" x14ac:dyDescent="0.35">
      <c r="A825" t="s">
        <v>848</v>
      </c>
      <c r="B825" t="s">
        <v>24</v>
      </c>
      <c r="C825" t="s">
        <v>13</v>
      </c>
      <c r="D825" t="s">
        <v>68</v>
      </c>
      <c r="E825" s="3">
        <v>626534</v>
      </c>
      <c r="F825">
        <v>0</v>
      </c>
      <c r="G825">
        <v>84</v>
      </c>
      <c r="H825" s="1">
        <v>36526</v>
      </c>
      <c r="I825" s="1" t="s">
        <v>1102</v>
      </c>
      <c r="J825" t="s">
        <v>11</v>
      </c>
      <c r="K825" s="2">
        <v>481.02578599999998</v>
      </c>
      <c r="L825" s="1">
        <v>35481.0257859954</v>
      </c>
    </row>
    <row r="826" spans="1:12" x14ac:dyDescent="0.35">
      <c r="A826" t="s">
        <v>849</v>
      </c>
      <c r="B826" t="s">
        <v>1</v>
      </c>
      <c r="C826" t="s">
        <v>13</v>
      </c>
      <c r="D826" t="s">
        <v>22</v>
      </c>
      <c r="E826" s="3">
        <v>854759</v>
      </c>
      <c r="F826">
        <v>51179</v>
      </c>
      <c r="G826">
        <v>71</v>
      </c>
      <c r="H826" s="1">
        <v>0</v>
      </c>
      <c r="I826" s="1" t="s">
        <v>1105</v>
      </c>
      <c r="J826" t="s">
        <v>11</v>
      </c>
      <c r="K826" s="2">
        <v>466.17673100000002</v>
      </c>
      <c r="L826" s="1">
        <v>35466.176730995401</v>
      </c>
    </row>
    <row r="827" spans="1:12" x14ac:dyDescent="0.35">
      <c r="A827" t="s">
        <v>850</v>
      </c>
      <c r="B827" t="s">
        <v>1</v>
      </c>
      <c r="C827" t="s">
        <v>19</v>
      </c>
      <c r="D827" t="s">
        <v>14</v>
      </c>
      <c r="E827" s="3">
        <v>278742</v>
      </c>
      <c r="F827">
        <v>38667</v>
      </c>
      <c r="G827">
        <v>72</v>
      </c>
      <c r="H827" s="1">
        <v>0</v>
      </c>
      <c r="I827" s="1" t="s">
        <v>1102</v>
      </c>
      <c r="J827" t="s">
        <v>11</v>
      </c>
      <c r="K827" s="2">
        <v>159.26647299999999</v>
      </c>
      <c r="L827" s="1">
        <v>35159.266472997697</v>
      </c>
    </row>
    <row r="828" spans="1:12" x14ac:dyDescent="0.35">
      <c r="A828" t="s">
        <v>851</v>
      </c>
      <c r="B828" t="s">
        <v>1</v>
      </c>
      <c r="C828" t="s">
        <v>13</v>
      </c>
      <c r="D828" t="s">
        <v>10</v>
      </c>
      <c r="E828" s="3">
        <v>462680</v>
      </c>
      <c r="F828">
        <v>79487</v>
      </c>
      <c r="G828">
        <v>114</v>
      </c>
      <c r="H828" s="1">
        <v>0</v>
      </c>
      <c r="I828" s="1" t="s">
        <v>1105</v>
      </c>
      <c r="J828" t="s">
        <v>20</v>
      </c>
      <c r="K828" s="2">
        <v>547.20000000000005</v>
      </c>
      <c r="L828" s="1">
        <v>35547.199999999997</v>
      </c>
    </row>
    <row r="829" spans="1:12" x14ac:dyDescent="0.35">
      <c r="A829" t="s">
        <v>852</v>
      </c>
      <c r="B829" t="s">
        <v>16</v>
      </c>
      <c r="C829" t="s">
        <v>13</v>
      </c>
      <c r="D829" t="s">
        <v>68</v>
      </c>
      <c r="E829" s="3">
        <v>866336</v>
      </c>
      <c r="F829">
        <v>67763</v>
      </c>
      <c r="G829">
        <v>107</v>
      </c>
      <c r="H829" s="1">
        <v>36557</v>
      </c>
      <c r="I829" s="1" t="s">
        <v>1102</v>
      </c>
      <c r="J829" t="s">
        <v>11</v>
      </c>
      <c r="K829" s="2">
        <v>41.283166999999999</v>
      </c>
      <c r="L829" s="1">
        <v>35041.283167002301</v>
      </c>
    </row>
    <row r="830" spans="1:12" x14ac:dyDescent="0.35">
      <c r="A830" t="s">
        <v>853</v>
      </c>
      <c r="B830" t="s">
        <v>16</v>
      </c>
      <c r="C830" t="s">
        <v>19</v>
      </c>
      <c r="D830" t="s">
        <v>22</v>
      </c>
      <c r="E830" s="3">
        <v>387222</v>
      </c>
      <c r="F830">
        <v>0</v>
      </c>
      <c r="G830">
        <v>62</v>
      </c>
      <c r="H830" s="1">
        <v>36557</v>
      </c>
      <c r="I830" s="1" t="s">
        <v>1105</v>
      </c>
      <c r="J830" t="s">
        <v>11</v>
      </c>
      <c r="K830" s="2">
        <v>503.80832900000001</v>
      </c>
      <c r="L830" s="1">
        <v>35503.808329004598</v>
      </c>
    </row>
    <row r="831" spans="1:12" x14ac:dyDescent="0.35">
      <c r="A831" t="s">
        <v>854</v>
      </c>
      <c r="B831" t="s">
        <v>24</v>
      </c>
      <c r="C831" t="s">
        <v>13</v>
      </c>
      <c r="D831" t="s">
        <v>26</v>
      </c>
      <c r="E831" s="3">
        <v>517081</v>
      </c>
      <c r="F831">
        <v>0</v>
      </c>
      <c r="G831">
        <v>71</v>
      </c>
      <c r="H831" s="1">
        <v>0</v>
      </c>
      <c r="I831" s="1" t="s">
        <v>1105</v>
      </c>
      <c r="J831" t="s">
        <v>11</v>
      </c>
      <c r="K831" s="2">
        <v>859.59941100000003</v>
      </c>
      <c r="L831" s="1">
        <v>35859.599410995397</v>
      </c>
    </row>
    <row r="832" spans="1:12" x14ac:dyDescent="0.35">
      <c r="A832" t="s">
        <v>855</v>
      </c>
      <c r="B832" t="s">
        <v>1</v>
      </c>
      <c r="C832" t="s">
        <v>13</v>
      </c>
      <c r="D832" t="s">
        <v>10</v>
      </c>
      <c r="E832" s="3">
        <v>896028</v>
      </c>
      <c r="F832">
        <v>71943</v>
      </c>
      <c r="G832">
        <v>112</v>
      </c>
      <c r="H832" s="1">
        <v>0</v>
      </c>
      <c r="I832" s="1" t="s">
        <v>1105</v>
      </c>
      <c r="J832" t="s">
        <v>20</v>
      </c>
      <c r="K832" s="2">
        <v>305.65378500000003</v>
      </c>
      <c r="L832" s="1">
        <v>35305.653785000002</v>
      </c>
    </row>
    <row r="833" spans="1:12" x14ac:dyDescent="0.35">
      <c r="A833" t="s">
        <v>856</v>
      </c>
      <c r="B833" t="s">
        <v>24</v>
      </c>
      <c r="C833" t="s">
        <v>13</v>
      </c>
      <c r="D833" t="s">
        <v>26</v>
      </c>
      <c r="E833" s="3">
        <v>547183</v>
      </c>
      <c r="F833">
        <v>53526</v>
      </c>
      <c r="G833">
        <v>68</v>
      </c>
      <c r="H833" s="1">
        <v>0</v>
      </c>
      <c r="I833" s="1" t="s">
        <v>1102</v>
      </c>
      <c r="J833" t="s">
        <v>11</v>
      </c>
      <c r="K833" s="2">
        <v>278.90284600000001</v>
      </c>
      <c r="L833" s="1">
        <v>35278.902845995399</v>
      </c>
    </row>
    <row r="834" spans="1:12" x14ac:dyDescent="0.35">
      <c r="A834" t="s">
        <v>857</v>
      </c>
      <c r="B834" t="s">
        <v>24</v>
      </c>
      <c r="C834" t="s">
        <v>19</v>
      </c>
      <c r="D834" t="s">
        <v>26</v>
      </c>
      <c r="E834" s="3">
        <v>3493100</v>
      </c>
      <c r="F834">
        <v>35005</v>
      </c>
      <c r="G834">
        <v>295</v>
      </c>
      <c r="H834" s="1">
        <v>0</v>
      </c>
      <c r="I834" s="1" t="s">
        <v>1102</v>
      </c>
      <c r="J834" t="s">
        <v>104</v>
      </c>
      <c r="K834" s="2">
        <v>1416</v>
      </c>
      <c r="L834" s="1">
        <v>36416</v>
      </c>
    </row>
    <row r="835" spans="1:12" x14ac:dyDescent="0.35">
      <c r="A835" t="s">
        <v>858</v>
      </c>
      <c r="B835" t="s">
        <v>1</v>
      </c>
      <c r="C835" t="s">
        <v>19</v>
      </c>
      <c r="D835" t="s">
        <v>26</v>
      </c>
      <c r="E835" s="3">
        <v>262039</v>
      </c>
      <c r="F835">
        <v>24721</v>
      </c>
      <c r="G835">
        <v>67</v>
      </c>
      <c r="H835" s="1">
        <v>0</v>
      </c>
      <c r="I835" s="1" t="s">
        <v>1102</v>
      </c>
      <c r="J835" t="s">
        <v>11</v>
      </c>
      <c r="K835" s="2">
        <v>139.963594</v>
      </c>
      <c r="L835" s="1">
        <v>35139.963594004599</v>
      </c>
    </row>
    <row r="836" spans="1:12" x14ac:dyDescent="0.35">
      <c r="A836" t="s">
        <v>859</v>
      </c>
      <c r="B836" t="s">
        <v>8</v>
      </c>
      <c r="C836" t="s">
        <v>19</v>
      </c>
      <c r="D836" t="s">
        <v>26</v>
      </c>
      <c r="E836" s="3">
        <v>1906950</v>
      </c>
      <c r="F836">
        <v>0</v>
      </c>
      <c r="G836">
        <v>102</v>
      </c>
      <c r="H836" s="1">
        <v>36557</v>
      </c>
      <c r="I836" s="1" t="s">
        <v>1102</v>
      </c>
      <c r="J836" t="s">
        <v>11</v>
      </c>
      <c r="K836" s="2">
        <v>734.4</v>
      </c>
      <c r="L836" s="1">
        <v>35734.400000000001</v>
      </c>
    </row>
    <row r="837" spans="1:12" x14ac:dyDescent="0.35">
      <c r="A837" t="s">
        <v>860</v>
      </c>
      <c r="B837" t="s">
        <v>28</v>
      </c>
      <c r="C837" t="s">
        <v>19</v>
      </c>
      <c r="D837" t="s">
        <v>10</v>
      </c>
      <c r="E837" s="3">
        <v>575744</v>
      </c>
      <c r="F837">
        <v>88997</v>
      </c>
      <c r="G837">
        <v>72</v>
      </c>
      <c r="H837" s="1">
        <v>0</v>
      </c>
      <c r="I837" s="1" t="s">
        <v>1102</v>
      </c>
      <c r="J837" t="s">
        <v>11</v>
      </c>
      <c r="K837" s="2">
        <v>174.04156599999999</v>
      </c>
      <c r="L837" s="1">
        <v>35174.041565995401</v>
      </c>
    </row>
    <row r="838" spans="1:12" x14ac:dyDescent="0.35">
      <c r="A838" t="s">
        <v>861</v>
      </c>
      <c r="B838" t="s">
        <v>28</v>
      </c>
      <c r="C838" t="s">
        <v>19</v>
      </c>
      <c r="D838" t="s">
        <v>10</v>
      </c>
      <c r="E838" s="3">
        <v>4022401</v>
      </c>
      <c r="F838">
        <v>48587</v>
      </c>
      <c r="G838">
        <v>111</v>
      </c>
      <c r="H838" s="1">
        <v>0</v>
      </c>
      <c r="I838" s="1" t="s">
        <v>1102</v>
      </c>
      <c r="J838" t="s">
        <v>20</v>
      </c>
      <c r="K838" s="2">
        <v>532.79999999999995</v>
      </c>
      <c r="L838" s="1">
        <v>35532.800000000003</v>
      </c>
    </row>
    <row r="839" spans="1:12" x14ac:dyDescent="0.35">
      <c r="A839" t="s">
        <v>862</v>
      </c>
      <c r="B839" t="s">
        <v>28</v>
      </c>
      <c r="C839" t="s">
        <v>13</v>
      </c>
      <c r="D839" t="s">
        <v>22</v>
      </c>
      <c r="E839" s="3">
        <v>270149</v>
      </c>
      <c r="F839">
        <v>76310</v>
      </c>
      <c r="G839">
        <v>67</v>
      </c>
      <c r="H839" s="1">
        <v>0</v>
      </c>
      <c r="I839" s="1" t="s">
        <v>1102</v>
      </c>
      <c r="J839" t="s">
        <v>17</v>
      </c>
      <c r="K839" s="2">
        <v>321.60000000000002</v>
      </c>
      <c r="L839" s="1">
        <v>35321.599999999999</v>
      </c>
    </row>
    <row r="840" spans="1:12" x14ac:dyDescent="0.35">
      <c r="A840" t="s">
        <v>863</v>
      </c>
      <c r="B840" t="s">
        <v>1</v>
      </c>
      <c r="C840" t="s">
        <v>19</v>
      </c>
      <c r="D840" t="s">
        <v>14</v>
      </c>
      <c r="E840" s="3">
        <v>371243</v>
      </c>
      <c r="F840">
        <v>73205</v>
      </c>
      <c r="G840">
        <v>92</v>
      </c>
      <c r="H840" s="1">
        <v>0</v>
      </c>
      <c r="I840" s="1" t="s">
        <v>1102</v>
      </c>
      <c r="J840" t="s">
        <v>11</v>
      </c>
      <c r="K840" s="2">
        <v>37.299864999999997</v>
      </c>
      <c r="L840" s="1">
        <v>35037.299865000001</v>
      </c>
    </row>
    <row r="841" spans="1:12" x14ac:dyDescent="0.35">
      <c r="A841" t="s">
        <v>864</v>
      </c>
      <c r="B841" t="s">
        <v>24</v>
      </c>
      <c r="C841" t="s">
        <v>13</v>
      </c>
      <c r="D841" t="s">
        <v>26</v>
      </c>
      <c r="E841" s="3">
        <v>2185084</v>
      </c>
      <c r="F841">
        <v>51056</v>
      </c>
      <c r="G841">
        <v>78</v>
      </c>
      <c r="H841" s="1">
        <v>0</v>
      </c>
      <c r="I841" s="1" t="s">
        <v>1102</v>
      </c>
      <c r="J841" t="s">
        <v>11</v>
      </c>
      <c r="K841" s="2">
        <v>95.816515999999993</v>
      </c>
      <c r="L841" s="1">
        <v>35095.816515995401</v>
      </c>
    </row>
    <row r="842" spans="1:12" x14ac:dyDescent="0.35">
      <c r="A842" t="s">
        <v>865</v>
      </c>
      <c r="B842" t="s">
        <v>1</v>
      </c>
      <c r="C842" t="s">
        <v>19</v>
      </c>
      <c r="D842" t="s">
        <v>26</v>
      </c>
      <c r="E842" s="3">
        <v>784017</v>
      </c>
      <c r="F842">
        <v>58414</v>
      </c>
      <c r="G842">
        <v>210</v>
      </c>
      <c r="H842" s="1">
        <v>36557</v>
      </c>
      <c r="I842" s="1" t="s">
        <v>1102</v>
      </c>
      <c r="J842" t="s">
        <v>53</v>
      </c>
      <c r="K842" s="2">
        <v>1008</v>
      </c>
      <c r="L842" s="1">
        <v>36008</v>
      </c>
    </row>
    <row r="843" spans="1:12" x14ac:dyDescent="0.35">
      <c r="A843" t="s">
        <v>866</v>
      </c>
      <c r="B843" t="s">
        <v>1</v>
      </c>
      <c r="C843" t="s">
        <v>13</v>
      </c>
      <c r="D843" t="s">
        <v>14</v>
      </c>
      <c r="E843" s="3">
        <v>823704</v>
      </c>
      <c r="F843">
        <v>23940</v>
      </c>
      <c r="G843">
        <v>107</v>
      </c>
      <c r="H843" s="1">
        <v>0</v>
      </c>
      <c r="I843" s="1" t="s">
        <v>1102</v>
      </c>
      <c r="J843" t="s">
        <v>20</v>
      </c>
      <c r="K843" s="2">
        <v>513.6</v>
      </c>
      <c r="L843" s="1">
        <v>35513.599999999999</v>
      </c>
    </row>
    <row r="844" spans="1:12" x14ac:dyDescent="0.35">
      <c r="A844" t="s">
        <v>867</v>
      </c>
      <c r="B844" t="s">
        <v>1</v>
      </c>
      <c r="C844" t="s">
        <v>13</v>
      </c>
      <c r="D844" t="s">
        <v>22</v>
      </c>
      <c r="E844" s="3">
        <v>224347</v>
      </c>
      <c r="F844">
        <v>0</v>
      </c>
      <c r="G844">
        <v>62</v>
      </c>
      <c r="H844" s="1">
        <v>0</v>
      </c>
      <c r="I844" s="1" t="s">
        <v>1102</v>
      </c>
      <c r="J844" t="s">
        <v>11</v>
      </c>
      <c r="K844" s="2">
        <v>446.4</v>
      </c>
      <c r="L844" s="1">
        <v>35446.400000000001</v>
      </c>
    </row>
    <row r="845" spans="1:12" x14ac:dyDescent="0.35">
      <c r="A845" t="s">
        <v>868</v>
      </c>
      <c r="B845" t="s">
        <v>1</v>
      </c>
      <c r="C845" t="s">
        <v>19</v>
      </c>
      <c r="D845" t="s">
        <v>14</v>
      </c>
      <c r="E845" s="3">
        <v>843446</v>
      </c>
      <c r="F845">
        <v>44216</v>
      </c>
      <c r="G845">
        <v>71</v>
      </c>
      <c r="H845" s="1">
        <v>0</v>
      </c>
      <c r="I845" s="1" t="s">
        <v>1102</v>
      </c>
      <c r="J845" t="s">
        <v>11</v>
      </c>
      <c r="K845" s="2">
        <v>72.205361999999994</v>
      </c>
      <c r="L845" s="1">
        <v>35072.2053620023</v>
      </c>
    </row>
    <row r="846" spans="1:12" x14ac:dyDescent="0.35">
      <c r="A846" t="s">
        <v>869</v>
      </c>
      <c r="B846" t="s">
        <v>1</v>
      </c>
      <c r="C846" t="s">
        <v>19</v>
      </c>
      <c r="D846" t="s">
        <v>22</v>
      </c>
      <c r="E846" s="3">
        <v>222707</v>
      </c>
      <c r="F846">
        <v>27972</v>
      </c>
      <c r="G846">
        <v>61</v>
      </c>
      <c r="H846" s="1">
        <v>0</v>
      </c>
      <c r="I846" s="1" t="s">
        <v>1105</v>
      </c>
      <c r="J846" t="s">
        <v>11</v>
      </c>
      <c r="K846" s="2">
        <v>292.8</v>
      </c>
      <c r="L846" s="1">
        <v>35292.800000000003</v>
      </c>
    </row>
    <row r="847" spans="1:12" x14ac:dyDescent="0.35">
      <c r="A847" t="s">
        <v>870</v>
      </c>
      <c r="B847" t="s">
        <v>28</v>
      </c>
      <c r="C847" t="s">
        <v>13</v>
      </c>
      <c r="D847" t="s">
        <v>22</v>
      </c>
      <c r="E847" s="3">
        <v>517003</v>
      </c>
      <c r="F847">
        <v>0</v>
      </c>
      <c r="G847">
        <v>69</v>
      </c>
      <c r="H847" s="1">
        <v>0</v>
      </c>
      <c r="I847" s="1" t="s">
        <v>1102</v>
      </c>
      <c r="J847" t="s">
        <v>11</v>
      </c>
      <c r="K847" s="2">
        <v>331.2</v>
      </c>
      <c r="L847" s="1">
        <v>35331.199999999997</v>
      </c>
    </row>
    <row r="848" spans="1:12" x14ac:dyDescent="0.35">
      <c r="A848" t="s">
        <v>871</v>
      </c>
      <c r="B848" t="s">
        <v>1</v>
      </c>
      <c r="C848" t="s">
        <v>13</v>
      </c>
      <c r="D848" t="s">
        <v>10</v>
      </c>
      <c r="E848" s="3">
        <v>264145</v>
      </c>
      <c r="F848">
        <v>29305</v>
      </c>
      <c r="G848">
        <v>66</v>
      </c>
      <c r="H848" s="1">
        <v>0</v>
      </c>
      <c r="I848" s="1" t="s">
        <v>1102</v>
      </c>
      <c r="J848" t="s">
        <v>11</v>
      </c>
      <c r="K848" s="2">
        <v>475.2</v>
      </c>
      <c r="L848" s="1">
        <v>35475.199999999997</v>
      </c>
    </row>
    <row r="849" spans="1:12" x14ac:dyDescent="0.35">
      <c r="A849" t="s">
        <v>872</v>
      </c>
      <c r="B849" t="s">
        <v>1</v>
      </c>
      <c r="C849" t="s">
        <v>13</v>
      </c>
      <c r="D849" t="s">
        <v>26</v>
      </c>
      <c r="E849" s="3">
        <v>279068</v>
      </c>
      <c r="F849">
        <v>53882</v>
      </c>
      <c r="G849">
        <v>69</v>
      </c>
      <c r="H849" s="1">
        <v>0</v>
      </c>
      <c r="I849" s="1" t="s">
        <v>1102</v>
      </c>
      <c r="J849" t="s">
        <v>11</v>
      </c>
      <c r="K849" s="2">
        <v>331.2</v>
      </c>
      <c r="L849" s="1">
        <v>35331.199999999997</v>
      </c>
    </row>
    <row r="850" spans="1:12" x14ac:dyDescent="0.35">
      <c r="A850" t="s">
        <v>873</v>
      </c>
      <c r="B850" t="s">
        <v>24</v>
      </c>
      <c r="C850" t="s">
        <v>19</v>
      </c>
      <c r="D850" t="s">
        <v>26</v>
      </c>
      <c r="E850" s="3">
        <v>274513</v>
      </c>
      <c r="F850">
        <v>91757</v>
      </c>
      <c r="G850">
        <v>69</v>
      </c>
      <c r="H850" s="1">
        <v>36526</v>
      </c>
      <c r="I850" s="1" t="s">
        <v>1102</v>
      </c>
      <c r="J850" t="s">
        <v>11</v>
      </c>
      <c r="K850" s="2">
        <v>331.2</v>
      </c>
      <c r="L850" s="1">
        <v>35331.199999999997</v>
      </c>
    </row>
    <row r="851" spans="1:12" x14ac:dyDescent="0.35">
      <c r="A851" t="s">
        <v>874</v>
      </c>
      <c r="B851" t="s">
        <v>1</v>
      </c>
      <c r="C851" t="s">
        <v>13</v>
      </c>
      <c r="D851" t="s">
        <v>14</v>
      </c>
      <c r="E851" s="3">
        <v>757953</v>
      </c>
      <c r="F851">
        <v>33906</v>
      </c>
      <c r="G851">
        <v>64</v>
      </c>
      <c r="H851" s="1">
        <v>0</v>
      </c>
      <c r="I851" s="1" t="s">
        <v>1102</v>
      </c>
      <c r="J851" t="s">
        <v>17</v>
      </c>
      <c r="K851" s="2">
        <v>401.59210899999999</v>
      </c>
      <c r="L851" s="1">
        <v>35401.592109004603</v>
      </c>
    </row>
    <row r="852" spans="1:12" x14ac:dyDescent="0.35">
      <c r="A852" t="s">
        <v>875</v>
      </c>
      <c r="B852" t="s">
        <v>24</v>
      </c>
      <c r="C852" t="s">
        <v>19</v>
      </c>
      <c r="D852" t="s">
        <v>14</v>
      </c>
      <c r="E852" s="3">
        <v>1097878</v>
      </c>
      <c r="F852">
        <v>68158</v>
      </c>
      <c r="G852">
        <v>139</v>
      </c>
      <c r="H852" s="1">
        <v>36526</v>
      </c>
      <c r="I852" s="1" t="s">
        <v>1102</v>
      </c>
      <c r="J852" t="s">
        <v>20</v>
      </c>
      <c r="K852" s="2">
        <v>253.18356800000001</v>
      </c>
      <c r="L852" s="1">
        <v>35253.183567997701</v>
      </c>
    </row>
    <row r="853" spans="1:12" x14ac:dyDescent="0.35">
      <c r="A853" t="s">
        <v>876</v>
      </c>
      <c r="B853" t="s">
        <v>1</v>
      </c>
      <c r="C853" t="s">
        <v>19</v>
      </c>
      <c r="D853" t="s">
        <v>26</v>
      </c>
      <c r="E853" s="3">
        <v>825506</v>
      </c>
      <c r="F853">
        <v>0</v>
      </c>
      <c r="G853">
        <v>134</v>
      </c>
      <c r="H853" s="1">
        <v>36586</v>
      </c>
      <c r="I853" s="1" t="s">
        <v>1102</v>
      </c>
      <c r="J853" t="s">
        <v>20</v>
      </c>
      <c r="K853" s="2">
        <v>643.20000000000005</v>
      </c>
      <c r="L853" s="1">
        <v>35643.199999999997</v>
      </c>
    </row>
    <row r="854" spans="1:12" x14ac:dyDescent="0.35">
      <c r="A854" t="s">
        <v>877</v>
      </c>
      <c r="B854" t="s">
        <v>24</v>
      </c>
      <c r="C854" t="s">
        <v>19</v>
      </c>
      <c r="D854" t="s">
        <v>26</v>
      </c>
      <c r="E854" s="3">
        <v>474773</v>
      </c>
      <c r="F854">
        <v>42165</v>
      </c>
      <c r="G854">
        <v>123</v>
      </c>
      <c r="H854" s="1">
        <v>0</v>
      </c>
      <c r="I854" s="1" t="s">
        <v>1105</v>
      </c>
      <c r="J854" t="s">
        <v>20</v>
      </c>
      <c r="K854" s="2">
        <v>799.673766</v>
      </c>
      <c r="L854" s="1">
        <v>35799.673765995401</v>
      </c>
    </row>
    <row r="855" spans="1:12" x14ac:dyDescent="0.35">
      <c r="A855" t="s">
        <v>878</v>
      </c>
      <c r="B855" t="s">
        <v>8</v>
      </c>
      <c r="C855" t="s">
        <v>19</v>
      </c>
      <c r="D855" t="s">
        <v>26</v>
      </c>
      <c r="E855" s="3">
        <v>354090</v>
      </c>
      <c r="F855">
        <v>0</v>
      </c>
      <c r="G855">
        <v>101</v>
      </c>
      <c r="H855" s="1">
        <v>0</v>
      </c>
      <c r="I855" s="1" t="s">
        <v>1102</v>
      </c>
      <c r="J855" t="s">
        <v>20</v>
      </c>
      <c r="K855" s="2">
        <v>727.2</v>
      </c>
      <c r="L855" s="1">
        <v>35727.199999999997</v>
      </c>
    </row>
    <row r="856" spans="1:12" x14ac:dyDescent="0.35">
      <c r="A856" t="s">
        <v>879</v>
      </c>
      <c r="B856" t="s">
        <v>1</v>
      </c>
      <c r="C856" t="s">
        <v>19</v>
      </c>
      <c r="D856" t="s">
        <v>68</v>
      </c>
      <c r="E856" s="3">
        <v>343613</v>
      </c>
      <c r="F856">
        <v>30817</v>
      </c>
      <c r="G856">
        <v>88</v>
      </c>
      <c r="H856" s="1">
        <v>0</v>
      </c>
      <c r="I856" s="1" t="s">
        <v>1102</v>
      </c>
      <c r="J856" t="s">
        <v>11</v>
      </c>
      <c r="K856" s="2">
        <v>91.834667999999994</v>
      </c>
      <c r="L856" s="1">
        <v>35091.834667997697</v>
      </c>
    </row>
    <row r="857" spans="1:12" x14ac:dyDescent="0.35">
      <c r="A857" t="s">
        <v>880</v>
      </c>
      <c r="B857" t="s">
        <v>1</v>
      </c>
      <c r="C857" t="s">
        <v>19</v>
      </c>
      <c r="D857" t="s">
        <v>14</v>
      </c>
      <c r="E857" s="3">
        <v>258219</v>
      </c>
      <c r="F857">
        <v>68074</v>
      </c>
      <c r="G857">
        <v>65</v>
      </c>
      <c r="H857" s="1">
        <v>0</v>
      </c>
      <c r="I857" s="1" t="s">
        <v>1102</v>
      </c>
      <c r="J857" t="s">
        <v>11</v>
      </c>
      <c r="K857" s="2">
        <v>27.987867000000001</v>
      </c>
      <c r="L857" s="1">
        <v>35027.987867002303</v>
      </c>
    </row>
    <row r="858" spans="1:12" x14ac:dyDescent="0.35">
      <c r="A858" t="s">
        <v>881</v>
      </c>
      <c r="B858" t="s">
        <v>8</v>
      </c>
      <c r="C858" t="s">
        <v>13</v>
      </c>
      <c r="D858" t="s">
        <v>26</v>
      </c>
      <c r="E858" s="3">
        <v>1166510</v>
      </c>
      <c r="F858">
        <v>84978</v>
      </c>
      <c r="G858">
        <v>35353</v>
      </c>
      <c r="H858" s="1">
        <v>36526</v>
      </c>
      <c r="I858" s="1" t="s">
        <v>1105</v>
      </c>
      <c r="J858" t="s">
        <v>11</v>
      </c>
      <c r="K858" s="2">
        <v>166.77296000000001</v>
      </c>
      <c r="L858" s="1">
        <v>35166.772960000002</v>
      </c>
    </row>
    <row r="859" spans="1:12" x14ac:dyDescent="0.35">
      <c r="A859" t="s">
        <v>882</v>
      </c>
      <c r="B859" t="s">
        <v>1</v>
      </c>
      <c r="C859" t="s">
        <v>13</v>
      </c>
      <c r="D859" t="s">
        <v>10</v>
      </c>
      <c r="E859" s="3">
        <v>739628</v>
      </c>
      <c r="F859">
        <v>71135</v>
      </c>
      <c r="G859">
        <v>92</v>
      </c>
      <c r="H859" s="1">
        <v>36526</v>
      </c>
      <c r="I859" s="1" t="s">
        <v>1102</v>
      </c>
      <c r="J859" t="s">
        <v>11</v>
      </c>
      <c r="K859" s="2">
        <v>270.56399499999998</v>
      </c>
      <c r="L859" s="1">
        <v>35270.563994999997</v>
      </c>
    </row>
    <row r="860" spans="1:12" x14ac:dyDescent="0.35">
      <c r="A860" t="s">
        <v>883</v>
      </c>
      <c r="B860" t="s">
        <v>1</v>
      </c>
      <c r="C860" t="s">
        <v>13</v>
      </c>
      <c r="D860" t="s">
        <v>26</v>
      </c>
      <c r="E860" s="3">
        <v>433080</v>
      </c>
      <c r="F860">
        <v>0</v>
      </c>
      <c r="G860">
        <v>61</v>
      </c>
      <c r="H860" s="1">
        <v>0</v>
      </c>
      <c r="I860" s="1" t="s">
        <v>1102</v>
      </c>
      <c r="J860" t="s">
        <v>17</v>
      </c>
      <c r="K860" s="2">
        <v>292.8</v>
      </c>
      <c r="L860" s="1">
        <v>35292.800000000003</v>
      </c>
    </row>
    <row r="861" spans="1:12" x14ac:dyDescent="0.35">
      <c r="A861" t="s">
        <v>884</v>
      </c>
      <c r="B861" t="s">
        <v>24</v>
      </c>
      <c r="C861" t="s">
        <v>19</v>
      </c>
      <c r="D861" t="s">
        <v>10</v>
      </c>
      <c r="E861" s="3">
        <v>907577</v>
      </c>
      <c r="F861">
        <v>37722</v>
      </c>
      <c r="G861">
        <v>116</v>
      </c>
      <c r="H861" s="1">
        <v>0</v>
      </c>
      <c r="I861" s="1" t="s">
        <v>1102</v>
      </c>
      <c r="J861" t="s">
        <v>66</v>
      </c>
      <c r="K861" s="2">
        <v>158.077504</v>
      </c>
      <c r="L861" s="1">
        <v>35158.077504004599</v>
      </c>
    </row>
    <row r="862" spans="1:12" x14ac:dyDescent="0.35">
      <c r="A862" t="s">
        <v>885</v>
      </c>
      <c r="B862" t="s">
        <v>28</v>
      </c>
      <c r="C862" t="s">
        <v>13</v>
      </c>
      <c r="D862" t="s">
        <v>14</v>
      </c>
      <c r="E862" s="3">
        <v>1463545</v>
      </c>
      <c r="F862">
        <v>0</v>
      </c>
      <c r="G862">
        <v>139</v>
      </c>
      <c r="H862" s="1">
        <v>0</v>
      </c>
      <c r="I862" s="1" t="s">
        <v>1102</v>
      </c>
      <c r="J862" t="s">
        <v>20</v>
      </c>
      <c r="K862" s="2">
        <v>667.2</v>
      </c>
      <c r="L862" s="1">
        <v>35667.199999999997</v>
      </c>
    </row>
    <row r="863" spans="1:12" x14ac:dyDescent="0.35">
      <c r="A863" t="s">
        <v>886</v>
      </c>
      <c r="B863" t="s">
        <v>8</v>
      </c>
      <c r="C863" t="s">
        <v>19</v>
      </c>
      <c r="D863" t="s">
        <v>22</v>
      </c>
      <c r="E863" s="3">
        <v>856477</v>
      </c>
      <c r="F863">
        <v>95697</v>
      </c>
      <c r="G863">
        <v>107</v>
      </c>
      <c r="H863" s="1">
        <v>0</v>
      </c>
      <c r="I863" s="1" t="s">
        <v>1102</v>
      </c>
      <c r="J863" t="s">
        <v>66</v>
      </c>
      <c r="K863" s="2">
        <v>178.00652400000001</v>
      </c>
      <c r="L863" s="1">
        <v>35178.006524004602</v>
      </c>
    </row>
    <row r="864" spans="1:12" x14ac:dyDescent="0.35">
      <c r="A864" t="s">
        <v>887</v>
      </c>
      <c r="B864" t="s">
        <v>1</v>
      </c>
      <c r="C864" t="s">
        <v>13</v>
      </c>
      <c r="D864" t="s">
        <v>26</v>
      </c>
      <c r="E864" s="3">
        <v>1156569</v>
      </c>
      <c r="F864">
        <v>64642</v>
      </c>
      <c r="G864">
        <v>96</v>
      </c>
      <c r="H864" s="1">
        <v>0</v>
      </c>
      <c r="I864" s="1" t="s">
        <v>1102</v>
      </c>
      <c r="J864" t="s">
        <v>11</v>
      </c>
      <c r="K864" s="2">
        <v>404.26569599999999</v>
      </c>
      <c r="L864" s="1">
        <v>35404.265695995397</v>
      </c>
    </row>
    <row r="865" spans="1:12" x14ac:dyDescent="0.35">
      <c r="A865" t="s">
        <v>888</v>
      </c>
      <c r="B865" t="s">
        <v>24</v>
      </c>
      <c r="C865" t="s">
        <v>13</v>
      </c>
      <c r="D865" t="s">
        <v>26</v>
      </c>
      <c r="E865" s="3">
        <v>277105</v>
      </c>
      <c r="F865">
        <v>50071</v>
      </c>
      <c r="G865">
        <v>71</v>
      </c>
      <c r="H865" s="1">
        <v>0</v>
      </c>
      <c r="I865" s="1" t="s">
        <v>1102</v>
      </c>
      <c r="J865" t="s">
        <v>17</v>
      </c>
      <c r="K865" s="2">
        <v>18.918935000000001</v>
      </c>
      <c r="L865" s="1">
        <v>35018.918935000002</v>
      </c>
    </row>
    <row r="866" spans="1:12" x14ac:dyDescent="0.35">
      <c r="A866" t="s">
        <v>889</v>
      </c>
      <c r="B866" t="s">
        <v>24</v>
      </c>
      <c r="C866" t="s">
        <v>19</v>
      </c>
      <c r="D866" t="s">
        <v>22</v>
      </c>
      <c r="E866" s="3">
        <v>850713</v>
      </c>
      <c r="F866">
        <v>46754</v>
      </c>
      <c r="G866">
        <v>106</v>
      </c>
      <c r="H866" s="1">
        <v>36526</v>
      </c>
      <c r="I866" s="1" t="s">
        <v>1102</v>
      </c>
      <c r="J866" t="s">
        <v>20</v>
      </c>
      <c r="K866" s="2">
        <v>513.81840299999999</v>
      </c>
      <c r="L866" s="1">
        <v>35513.818402997698</v>
      </c>
    </row>
    <row r="867" spans="1:12" x14ac:dyDescent="0.35">
      <c r="A867" t="s">
        <v>890</v>
      </c>
      <c r="B867" t="s">
        <v>1</v>
      </c>
      <c r="C867" t="s">
        <v>19</v>
      </c>
      <c r="D867" t="s">
        <v>26</v>
      </c>
      <c r="E867" s="3">
        <v>758211</v>
      </c>
      <c r="F867">
        <v>64801</v>
      </c>
      <c r="G867">
        <v>64</v>
      </c>
      <c r="H867" s="1">
        <v>0</v>
      </c>
      <c r="I867" s="1" t="s">
        <v>1105</v>
      </c>
      <c r="J867" t="s">
        <v>11</v>
      </c>
      <c r="K867" s="2">
        <v>268.47180200000003</v>
      </c>
      <c r="L867" s="1">
        <v>35268.471802002299</v>
      </c>
    </row>
    <row r="868" spans="1:12" x14ac:dyDescent="0.35">
      <c r="A868" t="s">
        <v>891</v>
      </c>
      <c r="B868" t="s">
        <v>28</v>
      </c>
      <c r="C868" t="s">
        <v>19</v>
      </c>
      <c r="D868" t="s">
        <v>14</v>
      </c>
      <c r="E868" s="3">
        <v>332309</v>
      </c>
      <c r="F868">
        <v>70410</v>
      </c>
      <c r="G868">
        <v>83</v>
      </c>
      <c r="H868" s="1">
        <v>0</v>
      </c>
      <c r="I868" s="1" t="s">
        <v>1102</v>
      </c>
      <c r="J868" t="s">
        <v>11</v>
      </c>
      <c r="K868" s="2">
        <v>131.828507</v>
      </c>
      <c r="L868" s="1">
        <v>35131.828507002298</v>
      </c>
    </row>
    <row r="869" spans="1:12" x14ac:dyDescent="0.35">
      <c r="A869" t="s">
        <v>892</v>
      </c>
      <c r="B869" t="s">
        <v>16</v>
      </c>
      <c r="C869" t="s">
        <v>13</v>
      </c>
      <c r="D869" t="s">
        <v>22</v>
      </c>
      <c r="E869" s="3">
        <v>523433</v>
      </c>
      <c r="F869">
        <v>66957</v>
      </c>
      <c r="G869">
        <v>131</v>
      </c>
      <c r="H869" s="1">
        <v>36526</v>
      </c>
      <c r="I869" s="1" t="s">
        <v>1102</v>
      </c>
      <c r="J869" t="s">
        <v>20</v>
      </c>
      <c r="K869" s="2">
        <v>628.79999999999995</v>
      </c>
      <c r="L869" s="1">
        <v>35628.800000000003</v>
      </c>
    </row>
    <row r="870" spans="1:12" x14ac:dyDescent="0.35">
      <c r="A870" t="s">
        <v>893</v>
      </c>
      <c r="B870" t="s">
        <v>16</v>
      </c>
      <c r="C870" t="s">
        <v>13</v>
      </c>
      <c r="D870" t="s">
        <v>22</v>
      </c>
      <c r="E870" s="3">
        <v>2470960</v>
      </c>
      <c r="F870">
        <v>24213</v>
      </c>
      <c r="G870">
        <v>78</v>
      </c>
      <c r="H870" s="1">
        <v>36526</v>
      </c>
      <c r="I870" s="1" t="s">
        <v>1102</v>
      </c>
      <c r="J870" t="s">
        <v>11</v>
      </c>
      <c r="K870" s="2">
        <v>374.4</v>
      </c>
      <c r="L870" s="1">
        <v>35374.400000000001</v>
      </c>
    </row>
    <row r="871" spans="1:12" x14ac:dyDescent="0.35">
      <c r="A871" t="s">
        <v>894</v>
      </c>
      <c r="B871" t="s">
        <v>8</v>
      </c>
      <c r="C871" t="s">
        <v>13</v>
      </c>
      <c r="D871" t="s">
        <v>26</v>
      </c>
      <c r="E871" s="3">
        <v>1778628</v>
      </c>
      <c r="F871">
        <v>99790</v>
      </c>
      <c r="G871">
        <v>6464</v>
      </c>
      <c r="H871" s="1">
        <v>0</v>
      </c>
      <c r="I871" s="1" t="s">
        <v>1102</v>
      </c>
      <c r="J871" t="s">
        <v>11</v>
      </c>
      <c r="K871" s="2">
        <v>178.98678799999999</v>
      </c>
      <c r="L871" s="1">
        <v>35178.986787997703</v>
      </c>
    </row>
    <row r="872" spans="1:12" x14ac:dyDescent="0.35">
      <c r="A872" t="s">
        <v>895</v>
      </c>
      <c r="B872" t="s">
        <v>24</v>
      </c>
      <c r="C872" t="s">
        <v>19</v>
      </c>
      <c r="D872" t="s">
        <v>10</v>
      </c>
      <c r="E872" s="3">
        <v>255123</v>
      </c>
      <c r="F872">
        <v>79751</v>
      </c>
      <c r="G872">
        <v>63</v>
      </c>
      <c r="H872" s="1">
        <v>0</v>
      </c>
      <c r="I872" s="1" t="s">
        <v>1102</v>
      </c>
      <c r="J872" t="s">
        <v>17</v>
      </c>
      <c r="K872" s="2">
        <v>392.23569800000001</v>
      </c>
      <c r="L872" s="1">
        <v>35392.235697997698</v>
      </c>
    </row>
    <row r="873" spans="1:12" x14ac:dyDescent="0.35">
      <c r="A873" t="s">
        <v>896</v>
      </c>
      <c r="B873" t="s">
        <v>28</v>
      </c>
      <c r="C873" t="s">
        <v>19</v>
      </c>
      <c r="D873" t="s">
        <v>22</v>
      </c>
      <c r="E873" s="3">
        <v>724771</v>
      </c>
      <c r="F873">
        <v>86122</v>
      </c>
      <c r="G873">
        <v>182</v>
      </c>
      <c r="H873" s="1">
        <v>36526</v>
      </c>
      <c r="I873" s="1" t="s">
        <v>1102</v>
      </c>
      <c r="J873" t="s">
        <v>53</v>
      </c>
      <c r="K873" s="2">
        <v>873.6</v>
      </c>
      <c r="L873" s="1">
        <v>35873.599999999999</v>
      </c>
    </row>
    <row r="874" spans="1:12" x14ac:dyDescent="0.35">
      <c r="A874" t="s">
        <v>897</v>
      </c>
      <c r="B874" t="s">
        <v>28</v>
      </c>
      <c r="C874" t="s">
        <v>19</v>
      </c>
      <c r="D874" t="s">
        <v>14</v>
      </c>
      <c r="E874" s="3">
        <v>453885</v>
      </c>
      <c r="F874">
        <v>82297</v>
      </c>
      <c r="G874">
        <v>116</v>
      </c>
      <c r="H874" s="1">
        <v>0</v>
      </c>
      <c r="I874" s="1" t="s">
        <v>1102</v>
      </c>
      <c r="J874" t="s">
        <v>66</v>
      </c>
      <c r="K874" s="2">
        <v>0.38210699999999997</v>
      </c>
      <c r="L874" s="1">
        <v>35000.382107002297</v>
      </c>
    </row>
    <row r="875" spans="1:12" x14ac:dyDescent="0.35">
      <c r="A875" t="s">
        <v>898</v>
      </c>
      <c r="B875" t="s">
        <v>8</v>
      </c>
      <c r="C875" t="s">
        <v>19</v>
      </c>
      <c r="D875" t="s">
        <v>26</v>
      </c>
      <c r="E875" s="3">
        <v>3164210</v>
      </c>
      <c r="F875">
        <v>89057</v>
      </c>
      <c r="G875">
        <v>98</v>
      </c>
      <c r="H875" s="1">
        <v>0</v>
      </c>
      <c r="I875" s="1" t="s">
        <v>1105</v>
      </c>
      <c r="J875" t="s">
        <v>17</v>
      </c>
      <c r="K875" s="2">
        <v>187.36358300000001</v>
      </c>
      <c r="L875" s="1">
        <v>35187.363582997699</v>
      </c>
    </row>
    <row r="876" spans="1:12" x14ac:dyDescent="0.35">
      <c r="A876" t="s">
        <v>899</v>
      </c>
      <c r="B876" t="s">
        <v>1</v>
      </c>
      <c r="C876" t="s">
        <v>19</v>
      </c>
      <c r="D876" t="s">
        <v>22</v>
      </c>
      <c r="E876" s="3">
        <v>873042</v>
      </c>
      <c r="F876">
        <v>43259</v>
      </c>
      <c r="G876">
        <v>73</v>
      </c>
      <c r="H876" s="1">
        <v>0</v>
      </c>
      <c r="I876" s="1" t="s">
        <v>1102</v>
      </c>
      <c r="J876" t="s">
        <v>11</v>
      </c>
      <c r="K876" s="2">
        <v>350.4</v>
      </c>
      <c r="L876" s="1">
        <v>35350.400000000001</v>
      </c>
    </row>
    <row r="877" spans="1:12" x14ac:dyDescent="0.35">
      <c r="A877" t="s">
        <v>900</v>
      </c>
      <c r="B877" t="s">
        <v>24</v>
      </c>
      <c r="C877" t="s">
        <v>19</v>
      </c>
      <c r="D877" t="s">
        <v>26</v>
      </c>
      <c r="E877" s="3">
        <v>833273</v>
      </c>
      <c r="F877">
        <v>0</v>
      </c>
      <c r="G877">
        <v>79</v>
      </c>
      <c r="H877" s="1">
        <v>0</v>
      </c>
      <c r="I877" s="1" t="s">
        <v>1102</v>
      </c>
      <c r="J877" t="s">
        <v>11</v>
      </c>
      <c r="K877" s="2">
        <v>379.2</v>
      </c>
      <c r="L877" s="1">
        <v>35379.199999999997</v>
      </c>
    </row>
    <row r="878" spans="1:12" x14ac:dyDescent="0.35">
      <c r="A878" t="s">
        <v>901</v>
      </c>
      <c r="B878" t="s">
        <v>1</v>
      </c>
      <c r="C878" t="s">
        <v>19</v>
      </c>
      <c r="D878" t="s">
        <v>26</v>
      </c>
      <c r="E878" s="3">
        <v>235775</v>
      </c>
      <c r="F878">
        <v>25064</v>
      </c>
      <c r="G878">
        <v>62</v>
      </c>
      <c r="H878" s="1">
        <v>0</v>
      </c>
      <c r="I878" s="1" t="s">
        <v>1102</v>
      </c>
      <c r="J878" t="s">
        <v>11</v>
      </c>
      <c r="K878" s="2">
        <v>297.60000000000002</v>
      </c>
      <c r="L878" s="1">
        <v>35297.599999999999</v>
      </c>
    </row>
    <row r="879" spans="1:12" x14ac:dyDescent="0.35">
      <c r="A879" t="s">
        <v>902</v>
      </c>
      <c r="B879" t="s">
        <v>28</v>
      </c>
      <c r="C879" t="s">
        <v>19</v>
      </c>
      <c r="D879" t="s">
        <v>10</v>
      </c>
      <c r="E879" s="3">
        <v>463716</v>
      </c>
      <c r="F879">
        <v>25816</v>
      </c>
      <c r="G879">
        <v>119</v>
      </c>
      <c r="H879" s="1">
        <v>0</v>
      </c>
      <c r="I879" s="1" t="s">
        <v>1102</v>
      </c>
      <c r="J879" t="s">
        <v>66</v>
      </c>
      <c r="K879" s="2">
        <v>571.20000000000005</v>
      </c>
      <c r="L879" s="1">
        <v>35571.199999999997</v>
      </c>
    </row>
    <row r="880" spans="1:12" x14ac:dyDescent="0.35">
      <c r="A880" t="s">
        <v>903</v>
      </c>
      <c r="B880" t="s">
        <v>1</v>
      </c>
      <c r="C880" t="s">
        <v>19</v>
      </c>
      <c r="D880" t="s">
        <v>14</v>
      </c>
      <c r="E880" s="3">
        <v>535719</v>
      </c>
      <c r="F880">
        <v>0</v>
      </c>
      <c r="G880">
        <v>73</v>
      </c>
      <c r="H880" s="1">
        <v>0</v>
      </c>
      <c r="I880" s="1" t="s">
        <v>1102</v>
      </c>
      <c r="J880" t="s">
        <v>11</v>
      </c>
      <c r="K880" s="2">
        <v>350.85398700000002</v>
      </c>
      <c r="L880" s="1">
        <v>35350.853987002301</v>
      </c>
    </row>
    <row r="881" spans="1:12" x14ac:dyDescent="0.35">
      <c r="A881" t="s">
        <v>904</v>
      </c>
      <c r="B881" t="s">
        <v>24</v>
      </c>
      <c r="C881" t="s">
        <v>13</v>
      </c>
      <c r="D881" t="s">
        <v>26</v>
      </c>
      <c r="E881" s="3">
        <v>539197</v>
      </c>
      <c r="F881">
        <v>41662</v>
      </c>
      <c r="G881">
        <v>69</v>
      </c>
      <c r="H881" s="1">
        <v>0</v>
      </c>
      <c r="I881" s="1" t="s">
        <v>1105</v>
      </c>
      <c r="J881" t="s">
        <v>11</v>
      </c>
      <c r="K881" s="2">
        <v>217.97316799999999</v>
      </c>
      <c r="L881" s="1">
        <v>35217.973167997698</v>
      </c>
    </row>
    <row r="882" spans="1:12" x14ac:dyDescent="0.35">
      <c r="A882" t="s">
        <v>905</v>
      </c>
      <c r="B882" t="s">
        <v>28</v>
      </c>
      <c r="C882" t="s">
        <v>19</v>
      </c>
      <c r="D882" t="s">
        <v>14</v>
      </c>
      <c r="E882" s="3">
        <v>369414</v>
      </c>
      <c r="F882">
        <v>96170</v>
      </c>
      <c r="G882">
        <v>92</v>
      </c>
      <c r="H882" s="1">
        <v>0</v>
      </c>
      <c r="I882" s="1" t="s">
        <v>1102</v>
      </c>
      <c r="J882" t="s">
        <v>11</v>
      </c>
      <c r="K882" s="2">
        <v>441.6</v>
      </c>
      <c r="L882" s="1">
        <v>35441.599999999999</v>
      </c>
    </row>
    <row r="883" spans="1:12" x14ac:dyDescent="0.35">
      <c r="A883" t="s">
        <v>906</v>
      </c>
      <c r="B883" t="s">
        <v>28</v>
      </c>
      <c r="C883" t="s">
        <v>13</v>
      </c>
      <c r="D883" t="s">
        <v>22</v>
      </c>
      <c r="E883" s="3">
        <v>504041</v>
      </c>
      <c r="F883">
        <v>46072</v>
      </c>
      <c r="G883">
        <v>64</v>
      </c>
      <c r="H883" s="1">
        <v>0</v>
      </c>
      <c r="I883" s="1" t="s">
        <v>1102</v>
      </c>
      <c r="J883" t="s">
        <v>11</v>
      </c>
      <c r="K883" s="2">
        <v>25.934063999999999</v>
      </c>
      <c r="L883" s="1">
        <v>35025.934064004599</v>
      </c>
    </row>
    <row r="884" spans="1:12" x14ac:dyDescent="0.35">
      <c r="A884" t="s">
        <v>907</v>
      </c>
      <c r="B884" t="s">
        <v>28</v>
      </c>
      <c r="C884" t="s">
        <v>13</v>
      </c>
      <c r="D884" t="s">
        <v>22</v>
      </c>
      <c r="E884" s="3">
        <v>2749542</v>
      </c>
      <c r="F884">
        <v>37931</v>
      </c>
      <c r="G884">
        <v>99</v>
      </c>
      <c r="H884" s="1">
        <v>0</v>
      </c>
      <c r="I884" s="1" t="s">
        <v>1102</v>
      </c>
      <c r="J884" t="s">
        <v>11</v>
      </c>
      <c r="K884" s="2">
        <v>475.2</v>
      </c>
      <c r="L884" s="1">
        <v>35475.199999999997</v>
      </c>
    </row>
    <row r="885" spans="1:12" x14ac:dyDescent="0.35">
      <c r="A885" t="s">
        <v>908</v>
      </c>
      <c r="B885" t="s">
        <v>24</v>
      </c>
      <c r="C885" t="s">
        <v>19</v>
      </c>
      <c r="D885" t="s">
        <v>22</v>
      </c>
      <c r="E885" s="3">
        <v>484229</v>
      </c>
      <c r="F885">
        <v>35127</v>
      </c>
      <c r="G885">
        <v>62</v>
      </c>
      <c r="H885" s="1">
        <v>0</v>
      </c>
      <c r="I885" s="1" t="s">
        <v>1102</v>
      </c>
      <c r="J885" t="s">
        <v>11</v>
      </c>
      <c r="K885" s="2">
        <v>297.60000000000002</v>
      </c>
      <c r="L885" s="1">
        <v>35297.599999999999</v>
      </c>
    </row>
    <row r="886" spans="1:12" x14ac:dyDescent="0.35">
      <c r="A886" t="s">
        <v>909</v>
      </c>
      <c r="B886" t="s">
        <v>8</v>
      </c>
      <c r="C886" t="s">
        <v>13</v>
      </c>
      <c r="D886" t="s">
        <v>22</v>
      </c>
      <c r="E886" s="3">
        <v>2738282</v>
      </c>
      <c r="F886">
        <v>45473</v>
      </c>
      <c r="G886">
        <v>76</v>
      </c>
      <c r="H886" s="1">
        <v>0</v>
      </c>
      <c r="I886" s="1" t="s">
        <v>1112</v>
      </c>
      <c r="J886" t="s">
        <v>17</v>
      </c>
      <c r="K886" s="2">
        <v>188.93839700000001</v>
      </c>
      <c r="L886" s="1">
        <v>35188.938397002297</v>
      </c>
    </row>
    <row r="887" spans="1:12" x14ac:dyDescent="0.35">
      <c r="A887" t="s">
        <v>910</v>
      </c>
      <c r="B887" t="s">
        <v>16</v>
      </c>
      <c r="C887" t="s">
        <v>13</v>
      </c>
      <c r="D887" t="s">
        <v>26</v>
      </c>
      <c r="E887" s="3">
        <v>522710</v>
      </c>
      <c r="F887">
        <v>93087</v>
      </c>
      <c r="G887">
        <v>131</v>
      </c>
      <c r="H887" s="1">
        <v>36586</v>
      </c>
      <c r="I887" s="1" t="s">
        <v>1105</v>
      </c>
      <c r="J887" t="s">
        <v>66</v>
      </c>
      <c r="K887" s="2">
        <v>628.79999999999995</v>
      </c>
      <c r="L887" s="1">
        <v>35628.800000000003</v>
      </c>
    </row>
    <row r="888" spans="1:12" x14ac:dyDescent="0.35">
      <c r="A888" t="s">
        <v>911</v>
      </c>
      <c r="B888" t="s">
        <v>28</v>
      </c>
      <c r="C888" t="s">
        <v>19</v>
      </c>
      <c r="D888" t="s">
        <v>22</v>
      </c>
      <c r="E888" s="3">
        <v>259010</v>
      </c>
      <c r="F888">
        <v>22398</v>
      </c>
      <c r="G888">
        <v>67</v>
      </c>
      <c r="H888" s="1">
        <v>36557</v>
      </c>
      <c r="I888" s="1" t="s">
        <v>1102</v>
      </c>
      <c r="J888" t="s">
        <v>11</v>
      </c>
      <c r="K888" s="2">
        <v>321.60000000000002</v>
      </c>
      <c r="L888" s="1">
        <v>35321.599999999999</v>
      </c>
    </row>
    <row r="889" spans="1:12" x14ac:dyDescent="0.35">
      <c r="A889" t="s">
        <v>912</v>
      </c>
      <c r="B889" t="s">
        <v>1</v>
      </c>
      <c r="C889" t="s">
        <v>19</v>
      </c>
      <c r="D889" t="s">
        <v>22</v>
      </c>
      <c r="E889" s="3">
        <v>1053608</v>
      </c>
      <c r="F889">
        <v>92983</v>
      </c>
      <c r="G889">
        <v>87</v>
      </c>
      <c r="H889" s="1">
        <v>36526</v>
      </c>
      <c r="I889" s="1" t="s">
        <v>1105</v>
      </c>
      <c r="J889" t="s">
        <v>11</v>
      </c>
      <c r="K889" s="2">
        <v>153.205591</v>
      </c>
      <c r="L889" s="1">
        <v>35153.2055909954</v>
      </c>
    </row>
    <row r="890" spans="1:12" x14ac:dyDescent="0.35">
      <c r="A890" t="s">
        <v>913</v>
      </c>
      <c r="B890" t="s">
        <v>28</v>
      </c>
      <c r="C890" t="s">
        <v>19</v>
      </c>
      <c r="D890" t="s">
        <v>14</v>
      </c>
      <c r="E890" s="3">
        <v>858128</v>
      </c>
      <c r="F890">
        <v>27689</v>
      </c>
      <c r="G890">
        <v>239</v>
      </c>
      <c r="H890" s="1">
        <v>36557</v>
      </c>
      <c r="I890" s="1" t="s">
        <v>1102</v>
      </c>
      <c r="J890" t="s">
        <v>53</v>
      </c>
      <c r="K890" s="2">
        <v>2893.2396779999999</v>
      </c>
      <c r="L890" s="1">
        <v>37893.239677997699</v>
      </c>
    </row>
    <row r="891" spans="1:12" x14ac:dyDescent="0.35">
      <c r="A891" t="s">
        <v>914</v>
      </c>
      <c r="B891" t="s">
        <v>1</v>
      </c>
      <c r="C891" t="s">
        <v>13</v>
      </c>
      <c r="D891" t="s">
        <v>26</v>
      </c>
      <c r="E891" s="3">
        <v>946311</v>
      </c>
      <c r="F891">
        <v>69654</v>
      </c>
      <c r="G891">
        <v>118</v>
      </c>
      <c r="H891" s="1">
        <v>0</v>
      </c>
      <c r="I891" s="1" t="s">
        <v>1105</v>
      </c>
      <c r="J891" t="s">
        <v>20</v>
      </c>
      <c r="K891" s="2">
        <v>629.53273100000001</v>
      </c>
      <c r="L891" s="1">
        <v>35629.532730995401</v>
      </c>
    </row>
    <row r="892" spans="1:12" x14ac:dyDescent="0.35">
      <c r="A892" t="s">
        <v>915</v>
      </c>
      <c r="B892" t="s">
        <v>1</v>
      </c>
      <c r="C892" t="s">
        <v>13</v>
      </c>
      <c r="D892" t="s">
        <v>14</v>
      </c>
      <c r="E892" s="3">
        <v>1344101</v>
      </c>
      <c r="F892">
        <v>80744</v>
      </c>
      <c r="G892">
        <v>111</v>
      </c>
      <c r="H892" s="1">
        <v>0</v>
      </c>
      <c r="I892" s="1" t="s">
        <v>1102</v>
      </c>
      <c r="J892" t="s">
        <v>20</v>
      </c>
      <c r="K892" s="2">
        <v>361.28475700000001</v>
      </c>
      <c r="L892" s="1">
        <v>35361.2847570023</v>
      </c>
    </row>
    <row r="893" spans="1:12" x14ac:dyDescent="0.35">
      <c r="A893" t="s">
        <v>916</v>
      </c>
      <c r="B893" t="s">
        <v>1</v>
      </c>
      <c r="C893" t="s">
        <v>13</v>
      </c>
      <c r="D893" t="s">
        <v>14</v>
      </c>
      <c r="E893" s="3">
        <v>388650</v>
      </c>
      <c r="F893">
        <v>0</v>
      </c>
      <c r="G893">
        <v>112</v>
      </c>
      <c r="H893" s="1">
        <v>0</v>
      </c>
      <c r="I893" s="1" t="s">
        <v>1105</v>
      </c>
      <c r="J893" t="s">
        <v>20</v>
      </c>
      <c r="K893" s="2">
        <v>1185.9883010000001</v>
      </c>
      <c r="L893" s="1">
        <v>36185.988300995399</v>
      </c>
    </row>
    <row r="894" spans="1:12" x14ac:dyDescent="0.35">
      <c r="A894" t="s">
        <v>917</v>
      </c>
      <c r="B894" t="s">
        <v>28</v>
      </c>
      <c r="C894" t="s">
        <v>13</v>
      </c>
      <c r="D894" t="s">
        <v>22</v>
      </c>
      <c r="E894" s="3">
        <v>678489</v>
      </c>
      <c r="F894">
        <v>0</v>
      </c>
      <c r="G894">
        <v>64</v>
      </c>
      <c r="H894" s="1">
        <v>36526</v>
      </c>
      <c r="I894" s="1" t="s">
        <v>1102</v>
      </c>
      <c r="J894" t="s">
        <v>11</v>
      </c>
      <c r="K894" s="2">
        <v>460.8</v>
      </c>
      <c r="L894" s="1">
        <v>35460.800000000003</v>
      </c>
    </row>
    <row r="895" spans="1:12" x14ac:dyDescent="0.35">
      <c r="A895" t="s">
        <v>918</v>
      </c>
      <c r="B895" t="s">
        <v>28</v>
      </c>
      <c r="C895" t="s">
        <v>19</v>
      </c>
      <c r="D895" t="s">
        <v>14</v>
      </c>
      <c r="E895" s="3">
        <v>2359468</v>
      </c>
      <c r="F895">
        <v>76358</v>
      </c>
      <c r="G895">
        <v>66</v>
      </c>
      <c r="H895" s="1">
        <v>0</v>
      </c>
      <c r="I895" s="1" t="s">
        <v>1112</v>
      </c>
      <c r="J895" t="s">
        <v>11</v>
      </c>
      <c r="K895" s="2">
        <v>86.461582000000007</v>
      </c>
      <c r="L895" s="1">
        <v>35086.461582002303</v>
      </c>
    </row>
    <row r="896" spans="1:12" x14ac:dyDescent="0.35">
      <c r="A896" t="s">
        <v>919</v>
      </c>
      <c r="B896" t="s">
        <v>24</v>
      </c>
      <c r="C896" t="s">
        <v>19</v>
      </c>
      <c r="D896" t="s">
        <v>14</v>
      </c>
      <c r="E896" s="3">
        <v>253863</v>
      </c>
      <c r="F896">
        <v>18608</v>
      </c>
      <c r="G896">
        <v>71</v>
      </c>
      <c r="H896" s="1">
        <v>0</v>
      </c>
      <c r="I896" s="1" t="s">
        <v>1105</v>
      </c>
      <c r="J896" t="s">
        <v>11</v>
      </c>
      <c r="K896" s="2">
        <v>340.8</v>
      </c>
      <c r="L896" s="1">
        <v>35340.800000000003</v>
      </c>
    </row>
    <row r="897" spans="1:12" x14ac:dyDescent="0.35">
      <c r="A897" t="s">
        <v>920</v>
      </c>
      <c r="B897" t="s">
        <v>1</v>
      </c>
      <c r="C897" t="s">
        <v>19</v>
      </c>
      <c r="D897" t="s">
        <v>22</v>
      </c>
      <c r="E897" s="3">
        <v>563994</v>
      </c>
      <c r="F897">
        <v>73168</v>
      </c>
      <c r="G897">
        <v>70</v>
      </c>
      <c r="H897" s="1">
        <v>0</v>
      </c>
      <c r="I897" s="1" t="s">
        <v>1102</v>
      </c>
      <c r="J897" t="s">
        <v>11</v>
      </c>
      <c r="K897" s="2">
        <v>425.80011200000001</v>
      </c>
      <c r="L897" s="1">
        <v>35425.800112002296</v>
      </c>
    </row>
    <row r="898" spans="1:12" x14ac:dyDescent="0.35">
      <c r="A898" t="s">
        <v>921</v>
      </c>
      <c r="B898" t="s">
        <v>8</v>
      </c>
      <c r="C898" t="s">
        <v>19</v>
      </c>
      <c r="D898" t="s">
        <v>14</v>
      </c>
      <c r="E898" s="3">
        <v>1168137</v>
      </c>
      <c r="F898">
        <v>70930</v>
      </c>
      <c r="G898">
        <v>99</v>
      </c>
      <c r="H898" s="1">
        <v>0</v>
      </c>
      <c r="I898" s="1" t="s">
        <v>1102</v>
      </c>
      <c r="J898" t="s">
        <v>11</v>
      </c>
      <c r="K898" s="2">
        <v>190.43446</v>
      </c>
      <c r="L898" s="1">
        <v>35190.434459999997</v>
      </c>
    </row>
    <row r="899" spans="1:12" x14ac:dyDescent="0.35">
      <c r="A899" t="s">
        <v>922</v>
      </c>
      <c r="B899" t="s">
        <v>8</v>
      </c>
      <c r="C899" t="s">
        <v>13</v>
      </c>
      <c r="D899" t="s">
        <v>22</v>
      </c>
      <c r="E899" s="3">
        <v>2599775</v>
      </c>
      <c r="F899">
        <v>62262</v>
      </c>
      <c r="G899">
        <v>72</v>
      </c>
      <c r="H899" s="1">
        <v>0</v>
      </c>
      <c r="I899" s="1" t="s">
        <v>1105</v>
      </c>
      <c r="J899" t="s">
        <v>11</v>
      </c>
      <c r="K899" s="2">
        <v>193.505325</v>
      </c>
      <c r="L899" s="1">
        <v>35193.505324999998</v>
      </c>
    </row>
    <row r="900" spans="1:12" x14ac:dyDescent="0.35">
      <c r="A900" t="s">
        <v>923</v>
      </c>
      <c r="B900" t="s">
        <v>16</v>
      </c>
      <c r="C900" t="s">
        <v>13</v>
      </c>
      <c r="D900" t="s">
        <v>10</v>
      </c>
      <c r="E900" s="3">
        <v>1377837</v>
      </c>
      <c r="F900">
        <v>91474</v>
      </c>
      <c r="G900">
        <v>113</v>
      </c>
      <c r="H900" s="1">
        <v>0</v>
      </c>
      <c r="I900" s="1" t="s">
        <v>1105</v>
      </c>
      <c r="J900" t="s">
        <v>17</v>
      </c>
      <c r="K900" s="2">
        <v>24.087774</v>
      </c>
      <c r="L900" s="1">
        <v>35024.087774004598</v>
      </c>
    </row>
    <row r="901" spans="1:12" x14ac:dyDescent="0.35">
      <c r="A901" t="s">
        <v>924</v>
      </c>
      <c r="B901" t="s">
        <v>1</v>
      </c>
      <c r="C901" t="s">
        <v>13</v>
      </c>
      <c r="D901" t="s">
        <v>14</v>
      </c>
      <c r="E901" s="3">
        <v>492318</v>
      </c>
      <c r="F901">
        <v>61469</v>
      </c>
      <c r="G901">
        <v>63</v>
      </c>
      <c r="H901" s="1">
        <v>36647</v>
      </c>
      <c r="I901" s="1" t="s">
        <v>1102</v>
      </c>
      <c r="J901" t="s">
        <v>11</v>
      </c>
      <c r="K901" s="2">
        <v>302.39999999999998</v>
      </c>
      <c r="L901" s="1">
        <v>35302.400000000001</v>
      </c>
    </row>
    <row r="902" spans="1:12" x14ac:dyDescent="0.35">
      <c r="A902" t="s">
        <v>925</v>
      </c>
      <c r="B902" t="s">
        <v>28</v>
      </c>
      <c r="C902" t="s">
        <v>13</v>
      </c>
      <c r="D902" t="s">
        <v>22</v>
      </c>
      <c r="E902" s="3">
        <v>227234</v>
      </c>
      <c r="F902">
        <v>16618</v>
      </c>
      <c r="G902">
        <v>62</v>
      </c>
      <c r="H902" s="1">
        <v>0</v>
      </c>
      <c r="I902" s="1" t="s">
        <v>1112</v>
      </c>
      <c r="J902" t="s">
        <v>11</v>
      </c>
      <c r="K902" s="2">
        <v>219.28870599999999</v>
      </c>
      <c r="L902" s="1">
        <v>35219.288705995401</v>
      </c>
    </row>
    <row r="903" spans="1:12" x14ac:dyDescent="0.35">
      <c r="A903" t="s">
        <v>926</v>
      </c>
      <c r="B903" t="s">
        <v>1</v>
      </c>
      <c r="C903" t="s">
        <v>13</v>
      </c>
      <c r="D903" t="s">
        <v>14</v>
      </c>
      <c r="E903" s="3">
        <v>1489540</v>
      </c>
      <c r="F903">
        <v>48081</v>
      </c>
      <c r="G903">
        <v>188</v>
      </c>
      <c r="H903" s="1">
        <v>0</v>
      </c>
      <c r="I903" s="1" t="s">
        <v>1102</v>
      </c>
      <c r="J903" t="s">
        <v>53</v>
      </c>
      <c r="K903" s="2">
        <v>881.36095899999998</v>
      </c>
      <c r="L903" s="1">
        <v>35881.360959004604</v>
      </c>
    </row>
    <row r="904" spans="1:12" x14ac:dyDescent="0.35">
      <c r="A904" t="s">
        <v>927</v>
      </c>
      <c r="B904" t="s">
        <v>24</v>
      </c>
      <c r="C904" t="s">
        <v>19</v>
      </c>
      <c r="D904" t="s">
        <v>68</v>
      </c>
      <c r="E904" s="3">
        <v>975605</v>
      </c>
      <c r="F904">
        <v>67632</v>
      </c>
      <c r="G904">
        <v>121</v>
      </c>
      <c r="H904" s="1">
        <v>0</v>
      </c>
      <c r="I904" s="1" t="s">
        <v>1102</v>
      </c>
      <c r="J904" t="s">
        <v>66</v>
      </c>
      <c r="K904" s="2">
        <v>26.951626999999998</v>
      </c>
      <c r="L904" s="1">
        <v>35026.951627002301</v>
      </c>
    </row>
    <row r="905" spans="1:12" x14ac:dyDescent="0.35">
      <c r="A905" t="s">
        <v>928</v>
      </c>
      <c r="B905" t="s">
        <v>24</v>
      </c>
      <c r="C905" t="s">
        <v>13</v>
      </c>
      <c r="D905" t="s">
        <v>14</v>
      </c>
      <c r="E905" s="3">
        <v>942297</v>
      </c>
      <c r="F905">
        <v>34115</v>
      </c>
      <c r="G905">
        <v>119</v>
      </c>
      <c r="H905" s="1">
        <v>0</v>
      </c>
      <c r="I905" s="1" t="s">
        <v>1102</v>
      </c>
      <c r="J905" t="s">
        <v>20</v>
      </c>
      <c r="K905" s="2">
        <v>466.12254100000001</v>
      </c>
      <c r="L905" s="1">
        <v>35466.122540995399</v>
      </c>
    </row>
    <row r="906" spans="1:12" x14ac:dyDescent="0.35">
      <c r="A906" t="s">
        <v>929</v>
      </c>
      <c r="B906" t="s">
        <v>28</v>
      </c>
      <c r="C906" t="s">
        <v>19</v>
      </c>
      <c r="D906" t="s">
        <v>22</v>
      </c>
      <c r="E906" s="3">
        <v>383736</v>
      </c>
      <c r="F906">
        <v>23051</v>
      </c>
      <c r="G906">
        <v>99</v>
      </c>
      <c r="H906" s="1">
        <v>0</v>
      </c>
      <c r="I906" s="1" t="s">
        <v>1102</v>
      </c>
      <c r="J906" t="s">
        <v>17</v>
      </c>
      <c r="K906" s="2">
        <v>475.2</v>
      </c>
      <c r="L906" s="1">
        <v>35475.199999999997</v>
      </c>
    </row>
    <row r="907" spans="1:12" x14ac:dyDescent="0.35">
      <c r="A907" t="s">
        <v>930</v>
      </c>
      <c r="B907" t="s">
        <v>1</v>
      </c>
      <c r="C907" t="s">
        <v>19</v>
      </c>
      <c r="D907" t="s">
        <v>26</v>
      </c>
      <c r="E907" s="3">
        <v>1095213</v>
      </c>
      <c r="F907">
        <v>23748</v>
      </c>
      <c r="G907">
        <v>99</v>
      </c>
      <c r="H907" s="1">
        <v>0</v>
      </c>
      <c r="I907" s="1" t="s">
        <v>1102</v>
      </c>
      <c r="J907" t="s">
        <v>11</v>
      </c>
      <c r="K907" s="2">
        <v>607.09565499999997</v>
      </c>
      <c r="L907" s="1">
        <v>35607.095654999997</v>
      </c>
    </row>
    <row r="908" spans="1:12" x14ac:dyDescent="0.35">
      <c r="A908" t="s">
        <v>931</v>
      </c>
      <c r="B908" t="s">
        <v>28</v>
      </c>
      <c r="C908" t="s">
        <v>13</v>
      </c>
      <c r="D908" t="s">
        <v>26</v>
      </c>
      <c r="E908" s="3">
        <v>815914</v>
      </c>
      <c r="F908">
        <v>40589</v>
      </c>
      <c r="G908">
        <v>69</v>
      </c>
      <c r="H908" s="1">
        <v>0</v>
      </c>
      <c r="I908" s="1" t="s">
        <v>1105</v>
      </c>
      <c r="J908" t="s">
        <v>11</v>
      </c>
      <c r="K908" s="2">
        <v>331.2</v>
      </c>
      <c r="L908" s="1">
        <v>35331.199999999997</v>
      </c>
    </row>
    <row r="909" spans="1:12" x14ac:dyDescent="0.35">
      <c r="A909" t="s">
        <v>932</v>
      </c>
      <c r="B909" t="s">
        <v>1</v>
      </c>
      <c r="C909" t="s">
        <v>13</v>
      </c>
      <c r="D909" t="s">
        <v>26</v>
      </c>
      <c r="E909" s="3">
        <v>1948050</v>
      </c>
      <c r="F909">
        <v>50809</v>
      </c>
      <c r="G909">
        <v>83</v>
      </c>
      <c r="H909" s="1">
        <v>0</v>
      </c>
      <c r="I909" s="1" t="s">
        <v>1102</v>
      </c>
      <c r="J909" t="s">
        <v>11</v>
      </c>
      <c r="K909" s="2">
        <v>290.38170700000001</v>
      </c>
      <c r="L909" s="1">
        <v>35290.3817070023</v>
      </c>
    </row>
    <row r="910" spans="1:12" x14ac:dyDescent="0.35">
      <c r="A910" t="s">
        <v>933</v>
      </c>
      <c r="B910" t="s">
        <v>28</v>
      </c>
      <c r="C910" t="s">
        <v>13</v>
      </c>
      <c r="D910" t="s">
        <v>22</v>
      </c>
      <c r="E910" s="3">
        <v>391937</v>
      </c>
      <c r="F910">
        <v>66676</v>
      </c>
      <c r="G910">
        <v>97</v>
      </c>
      <c r="H910" s="1">
        <v>0</v>
      </c>
      <c r="I910" s="1" t="s">
        <v>1102</v>
      </c>
      <c r="J910" t="s">
        <v>11</v>
      </c>
      <c r="K910" s="2">
        <v>558.09935700000005</v>
      </c>
      <c r="L910" s="1">
        <v>35558.099357002298</v>
      </c>
    </row>
    <row r="911" spans="1:12" x14ac:dyDescent="0.35">
      <c r="A911" t="s">
        <v>934</v>
      </c>
      <c r="B911" t="s">
        <v>16</v>
      </c>
      <c r="C911" t="s">
        <v>13</v>
      </c>
      <c r="D911" t="s">
        <v>14</v>
      </c>
      <c r="E911" s="3">
        <v>798514</v>
      </c>
      <c r="F911">
        <v>52339</v>
      </c>
      <c r="G911">
        <v>70</v>
      </c>
      <c r="H911" s="1">
        <v>36586</v>
      </c>
      <c r="I911" s="1" t="s">
        <v>1105</v>
      </c>
      <c r="J911" t="s">
        <v>11</v>
      </c>
      <c r="K911" s="2">
        <v>336</v>
      </c>
      <c r="L911" s="1">
        <v>35336</v>
      </c>
    </row>
    <row r="912" spans="1:12" x14ac:dyDescent="0.35">
      <c r="A912" t="s">
        <v>935</v>
      </c>
      <c r="B912" t="s">
        <v>24</v>
      </c>
      <c r="C912" t="s">
        <v>19</v>
      </c>
      <c r="D912" t="s">
        <v>14</v>
      </c>
      <c r="E912" s="3">
        <v>1216874</v>
      </c>
      <c r="F912">
        <v>14973</v>
      </c>
      <c r="G912">
        <v>115</v>
      </c>
      <c r="H912" s="1">
        <v>0</v>
      </c>
      <c r="I912" s="1" t="s">
        <v>1102</v>
      </c>
      <c r="J912" t="s">
        <v>20</v>
      </c>
      <c r="K912" s="2">
        <v>828</v>
      </c>
      <c r="L912" s="1">
        <v>35828</v>
      </c>
    </row>
    <row r="913" spans="1:12" x14ac:dyDescent="0.35">
      <c r="A913" t="s">
        <v>936</v>
      </c>
      <c r="B913" t="s">
        <v>28</v>
      </c>
      <c r="C913" t="s">
        <v>13</v>
      </c>
      <c r="D913" t="s">
        <v>22</v>
      </c>
      <c r="E913" s="3">
        <v>584932</v>
      </c>
      <c r="F913">
        <v>0</v>
      </c>
      <c r="G913">
        <v>83</v>
      </c>
      <c r="H913" s="1">
        <v>0</v>
      </c>
      <c r="I913" s="1" t="s">
        <v>1105</v>
      </c>
      <c r="J913" t="s">
        <v>11</v>
      </c>
      <c r="K913" s="2">
        <v>540.51411499999995</v>
      </c>
      <c r="L913" s="1">
        <v>35540.514114999998</v>
      </c>
    </row>
    <row r="914" spans="1:12" x14ac:dyDescent="0.35">
      <c r="A914" t="s">
        <v>937</v>
      </c>
      <c r="B914" t="s">
        <v>28</v>
      </c>
      <c r="C914" t="s">
        <v>13</v>
      </c>
      <c r="D914" t="s">
        <v>14</v>
      </c>
      <c r="E914" s="3">
        <v>508584</v>
      </c>
      <c r="F914">
        <v>31546</v>
      </c>
      <c r="G914">
        <v>65</v>
      </c>
      <c r="H914" s="1">
        <v>0</v>
      </c>
      <c r="I914" s="1" t="s">
        <v>1102</v>
      </c>
      <c r="J914" t="s">
        <v>11</v>
      </c>
      <c r="K914" s="2">
        <v>100.04983199999999</v>
      </c>
      <c r="L914" s="1">
        <v>35100.049832002303</v>
      </c>
    </row>
    <row r="915" spans="1:12" x14ac:dyDescent="0.35">
      <c r="A915" t="s">
        <v>938</v>
      </c>
      <c r="B915" t="s">
        <v>1</v>
      </c>
      <c r="C915" t="s">
        <v>13</v>
      </c>
      <c r="D915" t="s">
        <v>26</v>
      </c>
      <c r="E915" s="3">
        <v>290394</v>
      </c>
      <c r="F915">
        <v>67763</v>
      </c>
      <c r="G915">
        <v>73</v>
      </c>
      <c r="H915" s="1">
        <v>36526</v>
      </c>
      <c r="I915" s="1" t="s">
        <v>1102</v>
      </c>
      <c r="J915" t="s">
        <v>11</v>
      </c>
      <c r="K915" s="2">
        <v>59.861963000000003</v>
      </c>
      <c r="L915" s="1">
        <v>35059.861962997697</v>
      </c>
    </row>
    <row r="916" spans="1:12" x14ac:dyDescent="0.35">
      <c r="A916" t="s">
        <v>939</v>
      </c>
      <c r="B916" t="s">
        <v>8</v>
      </c>
      <c r="C916" t="s">
        <v>13</v>
      </c>
      <c r="D916" t="s">
        <v>26</v>
      </c>
      <c r="E916" s="3">
        <v>627317</v>
      </c>
      <c r="F916">
        <v>20836</v>
      </c>
      <c r="G916">
        <v>79</v>
      </c>
      <c r="H916" s="1">
        <v>0</v>
      </c>
      <c r="I916" s="1" t="s">
        <v>1105</v>
      </c>
      <c r="J916" t="s">
        <v>11</v>
      </c>
      <c r="K916" s="2">
        <v>193.57032000000001</v>
      </c>
      <c r="L916" s="1">
        <v>35193.570319999999</v>
      </c>
    </row>
    <row r="917" spans="1:12" x14ac:dyDescent="0.35">
      <c r="A917" t="s">
        <v>940</v>
      </c>
      <c r="B917" t="s">
        <v>8</v>
      </c>
      <c r="C917" t="s">
        <v>19</v>
      </c>
      <c r="D917" t="s">
        <v>26</v>
      </c>
      <c r="E917" s="3">
        <v>1832142</v>
      </c>
      <c r="F917">
        <v>88592</v>
      </c>
      <c r="G917">
        <v>76</v>
      </c>
      <c r="H917" s="1">
        <v>0</v>
      </c>
      <c r="I917" s="1" t="s">
        <v>1105</v>
      </c>
      <c r="J917" t="s">
        <v>11</v>
      </c>
      <c r="K917" s="2">
        <v>199.79727</v>
      </c>
      <c r="L917" s="1">
        <v>35199.797270000003</v>
      </c>
    </row>
    <row r="918" spans="1:12" x14ac:dyDescent="0.35">
      <c r="A918" t="s">
        <v>941</v>
      </c>
      <c r="B918" t="s">
        <v>24</v>
      </c>
      <c r="C918" t="s">
        <v>13</v>
      </c>
      <c r="D918" t="s">
        <v>26</v>
      </c>
      <c r="E918" s="3">
        <v>517870</v>
      </c>
      <c r="F918">
        <v>66943</v>
      </c>
      <c r="G918">
        <v>65</v>
      </c>
      <c r="H918" s="1">
        <v>36526</v>
      </c>
      <c r="I918" s="1" t="s">
        <v>1112</v>
      </c>
      <c r="J918" t="s">
        <v>11</v>
      </c>
      <c r="K918" s="2">
        <v>53.084752999999999</v>
      </c>
      <c r="L918" s="1">
        <v>35053.084752997704</v>
      </c>
    </row>
    <row r="919" spans="1:12" x14ac:dyDescent="0.35">
      <c r="A919" t="s">
        <v>942</v>
      </c>
      <c r="B919" t="s">
        <v>28</v>
      </c>
      <c r="C919" t="s">
        <v>13</v>
      </c>
      <c r="D919" t="s">
        <v>22</v>
      </c>
      <c r="E919" s="3">
        <v>1402436</v>
      </c>
      <c r="F919">
        <v>81872</v>
      </c>
      <c r="G919">
        <v>115</v>
      </c>
      <c r="H919" s="1">
        <v>0</v>
      </c>
      <c r="I919" s="1" t="s">
        <v>1112</v>
      </c>
      <c r="J919" t="s">
        <v>11</v>
      </c>
      <c r="K919" s="2">
        <v>256.43803000000003</v>
      </c>
      <c r="L919" s="1">
        <v>35256.438029999998</v>
      </c>
    </row>
    <row r="920" spans="1:12" x14ac:dyDescent="0.35">
      <c r="A920" t="s">
        <v>943</v>
      </c>
      <c r="B920" t="s">
        <v>8</v>
      </c>
      <c r="C920" t="s">
        <v>13</v>
      </c>
      <c r="D920" t="s">
        <v>26</v>
      </c>
      <c r="E920" s="3">
        <v>530944</v>
      </c>
      <c r="F920">
        <v>22404</v>
      </c>
      <c r="G920">
        <v>70</v>
      </c>
      <c r="H920" s="1">
        <v>36526</v>
      </c>
      <c r="I920" s="1" t="s">
        <v>1102</v>
      </c>
      <c r="J920" t="s">
        <v>11</v>
      </c>
      <c r="K920" s="2">
        <v>211.136067</v>
      </c>
      <c r="L920" s="1">
        <v>35211.136067002299</v>
      </c>
    </row>
    <row r="921" spans="1:12" x14ac:dyDescent="0.35">
      <c r="A921" t="s">
        <v>944</v>
      </c>
      <c r="B921" t="s">
        <v>1</v>
      </c>
      <c r="C921" t="s">
        <v>13</v>
      </c>
      <c r="D921" t="s">
        <v>22</v>
      </c>
      <c r="E921" s="3">
        <v>494980</v>
      </c>
      <c r="F921">
        <v>21342</v>
      </c>
      <c r="G921">
        <v>62</v>
      </c>
      <c r="H921" s="1">
        <v>0</v>
      </c>
      <c r="I921" s="1" t="s">
        <v>1102</v>
      </c>
      <c r="J921" t="s">
        <v>11</v>
      </c>
      <c r="K921" s="2">
        <v>74.350892999999999</v>
      </c>
      <c r="L921" s="1">
        <v>35074.350892997703</v>
      </c>
    </row>
    <row r="922" spans="1:12" x14ac:dyDescent="0.35">
      <c r="A922" t="s">
        <v>945</v>
      </c>
      <c r="B922" t="s">
        <v>1</v>
      </c>
      <c r="C922" t="s">
        <v>19</v>
      </c>
      <c r="D922" t="s">
        <v>14</v>
      </c>
      <c r="E922" s="3">
        <v>859567</v>
      </c>
      <c r="F922">
        <v>34621</v>
      </c>
      <c r="G922">
        <v>108</v>
      </c>
      <c r="H922" s="1">
        <v>36526</v>
      </c>
      <c r="I922" s="1" t="s">
        <v>1105</v>
      </c>
      <c r="J922" t="s">
        <v>20</v>
      </c>
      <c r="K922" s="2">
        <v>621.46446800000001</v>
      </c>
      <c r="L922" s="1">
        <v>35621.464467997699</v>
      </c>
    </row>
    <row r="923" spans="1:12" x14ac:dyDescent="0.35">
      <c r="A923" t="s">
        <v>946</v>
      </c>
      <c r="B923" t="s">
        <v>24</v>
      </c>
      <c r="C923" t="s">
        <v>19</v>
      </c>
      <c r="D923" t="s">
        <v>26</v>
      </c>
      <c r="E923" s="3">
        <v>2295189</v>
      </c>
      <c r="F923">
        <v>62396</v>
      </c>
      <c r="G923">
        <v>64</v>
      </c>
      <c r="H923" s="1">
        <v>0</v>
      </c>
      <c r="I923" s="1" t="s">
        <v>1102</v>
      </c>
      <c r="J923" t="s">
        <v>11</v>
      </c>
      <c r="K923" s="2">
        <v>307.2</v>
      </c>
      <c r="L923" s="1">
        <v>35307.199999999997</v>
      </c>
    </row>
    <row r="924" spans="1:12" x14ac:dyDescent="0.35">
      <c r="A924" t="s">
        <v>947</v>
      </c>
      <c r="B924" t="s">
        <v>24</v>
      </c>
      <c r="C924" t="s">
        <v>19</v>
      </c>
      <c r="D924" t="s">
        <v>22</v>
      </c>
      <c r="E924" s="3">
        <v>379213</v>
      </c>
      <c r="F924">
        <v>97212</v>
      </c>
      <c r="G924">
        <v>93</v>
      </c>
      <c r="H924" s="1">
        <v>0</v>
      </c>
      <c r="I924" s="1" t="s">
        <v>1102</v>
      </c>
      <c r="J924" t="s">
        <v>17</v>
      </c>
      <c r="K924" s="2">
        <v>360.05588999999998</v>
      </c>
      <c r="L924" s="1">
        <v>35360.055890000003</v>
      </c>
    </row>
    <row r="925" spans="1:12" x14ac:dyDescent="0.35">
      <c r="A925" t="s">
        <v>948</v>
      </c>
      <c r="B925" t="s">
        <v>28</v>
      </c>
      <c r="C925" t="s">
        <v>13</v>
      </c>
      <c r="D925" t="s">
        <v>14</v>
      </c>
      <c r="E925" s="3">
        <v>275575</v>
      </c>
      <c r="F925">
        <v>49648</v>
      </c>
      <c r="G925">
        <v>70</v>
      </c>
      <c r="H925" s="1">
        <v>0</v>
      </c>
      <c r="I925" s="1" t="s">
        <v>1102</v>
      </c>
      <c r="J925" t="s">
        <v>11</v>
      </c>
      <c r="K925" s="2">
        <v>65.954813000000001</v>
      </c>
      <c r="L925" s="1">
        <v>35065.954812997697</v>
      </c>
    </row>
    <row r="926" spans="1:12" x14ac:dyDescent="0.35">
      <c r="A926" t="s">
        <v>949</v>
      </c>
      <c r="B926" t="s">
        <v>28</v>
      </c>
      <c r="C926" t="s">
        <v>19</v>
      </c>
      <c r="D926" t="s">
        <v>26</v>
      </c>
      <c r="E926" s="3">
        <v>488034</v>
      </c>
      <c r="F926">
        <v>97984</v>
      </c>
      <c r="G926">
        <v>61</v>
      </c>
      <c r="H926" s="1">
        <v>36526</v>
      </c>
      <c r="I926" s="1" t="s">
        <v>1102</v>
      </c>
      <c r="J926" t="s">
        <v>11</v>
      </c>
      <c r="K926" s="2">
        <v>407.45011799999997</v>
      </c>
      <c r="L926" s="1">
        <v>35407.450117997701</v>
      </c>
    </row>
    <row r="927" spans="1:12" x14ac:dyDescent="0.35">
      <c r="A927" t="s">
        <v>950</v>
      </c>
      <c r="B927" t="s">
        <v>1</v>
      </c>
      <c r="C927" t="s">
        <v>13</v>
      </c>
      <c r="D927" t="s">
        <v>26</v>
      </c>
      <c r="E927" s="3">
        <v>905191</v>
      </c>
      <c r="F927">
        <v>26308</v>
      </c>
      <c r="G927">
        <v>114</v>
      </c>
      <c r="H927" s="1">
        <v>0</v>
      </c>
      <c r="I927" s="1" t="s">
        <v>1105</v>
      </c>
      <c r="J927" t="s">
        <v>20</v>
      </c>
      <c r="K927" s="2">
        <v>547.20000000000005</v>
      </c>
      <c r="L927" s="1">
        <v>35547.199999999997</v>
      </c>
    </row>
    <row r="928" spans="1:12" x14ac:dyDescent="0.35">
      <c r="A928" t="s">
        <v>951</v>
      </c>
      <c r="B928" t="s">
        <v>24</v>
      </c>
      <c r="C928" t="s">
        <v>13</v>
      </c>
      <c r="D928" t="s">
        <v>26</v>
      </c>
      <c r="E928" s="3">
        <v>1011545</v>
      </c>
      <c r="F928">
        <v>63528</v>
      </c>
      <c r="G928">
        <v>256</v>
      </c>
      <c r="H928" s="1">
        <v>0</v>
      </c>
      <c r="I928" s="1" t="s">
        <v>1102</v>
      </c>
      <c r="J928" t="s">
        <v>104</v>
      </c>
      <c r="K928" s="2">
        <v>1228.8</v>
      </c>
      <c r="L928" s="1">
        <v>36228.800000000003</v>
      </c>
    </row>
    <row r="929" spans="1:12" x14ac:dyDescent="0.35">
      <c r="A929" t="s">
        <v>952</v>
      </c>
      <c r="B929" t="s">
        <v>16</v>
      </c>
      <c r="C929" t="s">
        <v>19</v>
      </c>
      <c r="D929" t="s">
        <v>26</v>
      </c>
      <c r="E929" s="3">
        <v>826908</v>
      </c>
      <c r="F929">
        <v>20225</v>
      </c>
      <c r="G929">
        <v>114</v>
      </c>
      <c r="H929" s="1">
        <v>36526</v>
      </c>
      <c r="I929" s="1" t="s">
        <v>1112</v>
      </c>
      <c r="J929" t="s">
        <v>20</v>
      </c>
      <c r="K929" s="2">
        <v>547.20000000000005</v>
      </c>
      <c r="L929" s="1">
        <v>35547.199999999997</v>
      </c>
    </row>
    <row r="930" spans="1:12" x14ac:dyDescent="0.35">
      <c r="A930" t="s">
        <v>953</v>
      </c>
      <c r="B930" t="s">
        <v>16</v>
      </c>
      <c r="C930" t="s">
        <v>19</v>
      </c>
      <c r="D930" t="s">
        <v>22</v>
      </c>
      <c r="E930" s="3">
        <v>807165</v>
      </c>
      <c r="F930">
        <v>0</v>
      </c>
      <c r="G930">
        <v>112</v>
      </c>
      <c r="H930" s="1">
        <v>0</v>
      </c>
      <c r="I930" s="1" t="s">
        <v>1102</v>
      </c>
      <c r="J930" t="s">
        <v>20</v>
      </c>
      <c r="K930" s="2">
        <v>806.4</v>
      </c>
      <c r="L930" s="1">
        <v>35806.400000000001</v>
      </c>
    </row>
    <row r="931" spans="1:12" x14ac:dyDescent="0.35">
      <c r="A931" t="s">
        <v>954</v>
      </c>
      <c r="B931" t="s">
        <v>24</v>
      </c>
      <c r="C931" t="s">
        <v>13</v>
      </c>
      <c r="D931" t="s">
        <v>22</v>
      </c>
      <c r="E931" s="3">
        <v>772699</v>
      </c>
      <c r="F931">
        <v>87620</v>
      </c>
      <c r="G931">
        <v>64</v>
      </c>
      <c r="H931" s="1">
        <v>0</v>
      </c>
      <c r="I931" s="1" t="s">
        <v>1102</v>
      </c>
      <c r="J931" t="s">
        <v>11</v>
      </c>
      <c r="K931" s="2">
        <v>24.063693000000001</v>
      </c>
      <c r="L931" s="1">
        <v>35024.063692997697</v>
      </c>
    </row>
    <row r="932" spans="1:12" x14ac:dyDescent="0.35">
      <c r="A932" t="s">
        <v>955</v>
      </c>
      <c r="B932" t="s">
        <v>1</v>
      </c>
      <c r="C932" t="s">
        <v>13</v>
      </c>
      <c r="D932" t="s">
        <v>14</v>
      </c>
      <c r="E932" s="3">
        <v>831114</v>
      </c>
      <c r="F932">
        <v>0</v>
      </c>
      <c r="G932">
        <v>72</v>
      </c>
      <c r="H932" s="1">
        <v>0</v>
      </c>
      <c r="I932" s="1" t="s">
        <v>1105</v>
      </c>
      <c r="J932" t="s">
        <v>11</v>
      </c>
      <c r="K932" s="2">
        <v>311.32928199999998</v>
      </c>
      <c r="L932" s="1">
        <v>35311.329282002298</v>
      </c>
    </row>
    <row r="933" spans="1:12" x14ac:dyDescent="0.35">
      <c r="A933" t="s">
        <v>956</v>
      </c>
      <c r="B933" t="s">
        <v>16</v>
      </c>
      <c r="C933" t="s">
        <v>13</v>
      </c>
      <c r="D933" t="s">
        <v>10</v>
      </c>
      <c r="E933" s="3">
        <v>257402</v>
      </c>
      <c r="F933">
        <v>34990</v>
      </c>
      <c r="G933">
        <v>65</v>
      </c>
      <c r="H933" s="1">
        <v>0</v>
      </c>
      <c r="I933" s="1" t="s">
        <v>1102</v>
      </c>
      <c r="J933" t="s">
        <v>11</v>
      </c>
      <c r="K933" s="2">
        <v>42.689135</v>
      </c>
      <c r="L933" s="1">
        <v>35042.689135000001</v>
      </c>
    </row>
    <row r="934" spans="1:12" x14ac:dyDescent="0.35">
      <c r="A934" t="s">
        <v>957</v>
      </c>
      <c r="B934" t="s">
        <v>24</v>
      </c>
      <c r="C934" t="s">
        <v>19</v>
      </c>
      <c r="D934" t="s">
        <v>14</v>
      </c>
      <c r="E934" s="3">
        <v>572733</v>
      </c>
      <c r="F934">
        <v>99934</v>
      </c>
      <c r="G934">
        <v>71</v>
      </c>
      <c r="H934" s="1">
        <v>0</v>
      </c>
      <c r="I934" s="1" t="s">
        <v>1112</v>
      </c>
      <c r="J934" t="s">
        <v>11</v>
      </c>
      <c r="K934" s="2">
        <v>460.32385499999998</v>
      </c>
      <c r="L934" s="1">
        <v>35460.323855000002</v>
      </c>
    </row>
    <row r="935" spans="1:12" x14ac:dyDescent="0.35">
      <c r="A935" t="s">
        <v>958</v>
      </c>
      <c r="B935" t="s">
        <v>8</v>
      </c>
      <c r="C935" t="s">
        <v>19</v>
      </c>
      <c r="D935" t="s">
        <v>10</v>
      </c>
      <c r="E935" s="3">
        <v>367914</v>
      </c>
      <c r="F935">
        <v>60804</v>
      </c>
      <c r="G935">
        <v>92</v>
      </c>
      <c r="H935" s="1">
        <v>0</v>
      </c>
      <c r="I935" s="1" t="s">
        <v>1102</v>
      </c>
      <c r="J935" t="s">
        <v>11</v>
      </c>
      <c r="K935" s="2">
        <v>213.22500099999999</v>
      </c>
      <c r="L935" s="1">
        <v>35213.2250009954</v>
      </c>
    </row>
    <row r="936" spans="1:12" x14ac:dyDescent="0.35">
      <c r="A936" t="s">
        <v>959</v>
      </c>
      <c r="B936" t="s">
        <v>24</v>
      </c>
      <c r="C936" t="s">
        <v>19</v>
      </c>
      <c r="D936" t="s">
        <v>14</v>
      </c>
      <c r="E936" s="3">
        <v>274452</v>
      </c>
      <c r="F936">
        <v>94648</v>
      </c>
      <c r="G936">
        <v>69</v>
      </c>
      <c r="H936" s="1">
        <v>0</v>
      </c>
      <c r="I936" s="1" t="s">
        <v>1102</v>
      </c>
      <c r="J936" t="s">
        <v>11</v>
      </c>
      <c r="K936" s="2">
        <v>331.2</v>
      </c>
      <c r="L936" s="1">
        <v>35331.199999999997</v>
      </c>
    </row>
    <row r="937" spans="1:12" x14ac:dyDescent="0.35">
      <c r="A937" t="s">
        <v>960</v>
      </c>
      <c r="B937" t="s">
        <v>1</v>
      </c>
      <c r="C937" t="s">
        <v>13</v>
      </c>
      <c r="D937" t="s">
        <v>22</v>
      </c>
      <c r="E937" s="3">
        <v>563674</v>
      </c>
      <c r="F937">
        <v>24516</v>
      </c>
      <c r="G937">
        <v>71</v>
      </c>
      <c r="H937" s="1">
        <v>0</v>
      </c>
      <c r="I937" s="1" t="s">
        <v>1102</v>
      </c>
      <c r="J937" t="s">
        <v>11</v>
      </c>
      <c r="K937" s="2">
        <v>300.60759100000001</v>
      </c>
      <c r="L937" s="1">
        <v>35300.607590995402</v>
      </c>
    </row>
    <row r="938" spans="1:12" x14ac:dyDescent="0.35">
      <c r="A938" t="s">
        <v>961</v>
      </c>
      <c r="B938" t="s">
        <v>28</v>
      </c>
      <c r="C938" t="s">
        <v>19</v>
      </c>
      <c r="D938" t="s">
        <v>14</v>
      </c>
      <c r="E938" s="3">
        <v>1687039</v>
      </c>
      <c r="F938">
        <v>61063</v>
      </c>
      <c r="G938">
        <v>85</v>
      </c>
      <c r="H938" s="1">
        <v>0</v>
      </c>
      <c r="I938" s="1" t="s">
        <v>1102</v>
      </c>
      <c r="J938" t="s">
        <v>11</v>
      </c>
      <c r="K938" s="2">
        <v>262.50488200000001</v>
      </c>
      <c r="L938" s="1">
        <v>35262.5048820023</v>
      </c>
    </row>
    <row r="939" spans="1:12" x14ac:dyDescent="0.35">
      <c r="A939" t="s">
        <v>962</v>
      </c>
      <c r="B939" t="s">
        <v>1</v>
      </c>
      <c r="C939" t="s">
        <v>19</v>
      </c>
      <c r="D939" t="s">
        <v>10</v>
      </c>
      <c r="E939" s="3">
        <v>273800</v>
      </c>
      <c r="F939">
        <v>0</v>
      </c>
      <c r="G939">
        <v>74</v>
      </c>
      <c r="H939" s="1">
        <v>0</v>
      </c>
      <c r="I939" s="1" t="s">
        <v>1102</v>
      </c>
      <c r="J939" t="s">
        <v>17</v>
      </c>
      <c r="K939" s="2">
        <v>263.365432</v>
      </c>
      <c r="L939" s="1">
        <v>35263.365432002298</v>
      </c>
    </row>
    <row r="940" spans="1:12" x14ac:dyDescent="0.35">
      <c r="A940" t="s">
        <v>963</v>
      </c>
      <c r="B940" t="s">
        <v>24</v>
      </c>
      <c r="C940" t="s">
        <v>19</v>
      </c>
      <c r="D940" t="s">
        <v>14</v>
      </c>
      <c r="E940" s="3">
        <v>464470</v>
      </c>
      <c r="F940">
        <v>0</v>
      </c>
      <c r="G940">
        <v>64</v>
      </c>
      <c r="H940" s="1">
        <v>0</v>
      </c>
      <c r="I940" s="1" t="s">
        <v>1105</v>
      </c>
      <c r="J940" t="s">
        <v>11</v>
      </c>
      <c r="K940" s="2">
        <v>307.2</v>
      </c>
      <c r="L940" s="1">
        <v>35307.199999999997</v>
      </c>
    </row>
    <row r="941" spans="1:12" x14ac:dyDescent="0.35">
      <c r="A941" t="s">
        <v>964</v>
      </c>
      <c r="B941" t="s">
        <v>1</v>
      </c>
      <c r="C941" t="s">
        <v>13</v>
      </c>
      <c r="D941" t="s">
        <v>22</v>
      </c>
      <c r="E941" s="3">
        <v>474669</v>
      </c>
      <c r="F941">
        <v>15169</v>
      </c>
      <c r="G941">
        <v>63</v>
      </c>
      <c r="H941" s="1">
        <v>0</v>
      </c>
      <c r="I941" s="1" t="s">
        <v>1102</v>
      </c>
      <c r="J941" t="s">
        <v>11</v>
      </c>
      <c r="K941" s="2">
        <v>302.39999999999998</v>
      </c>
      <c r="L941" s="1">
        <v>35302.400000000001</v>
      </c>
    </row>
    <row r="942" spans="1:12" x14ac:dyDescent="0.35">
      <c r="A942" t="s">
        <v>965</v>
      </c>
      <c r="B942" t="s">
        <v>28</v>
      </c>
      <c r="C942" t="s">
        <v>19</v>
      </c>
      <c r="D942" t="s">
        <v>26</v>
      </c>
      <c r="E942" s="3">
        <v>1687433</v>
      </c>
      <c r="F942">
        <v>55390</v>
      </c>
      <c r="G942">
        <v>71</v>
      </c>
      <c r="H942" s="1">
        <v>0</v>
      </c>
      <c r="I942" s="1" t="s">
        <v>1105</v>
      </c>
      <c r="J942" t="s">
        <v>17</v>
      </c>
      <c r="K942" s="2">
        <v>256.26809100000003</v>
      </c>
      <c r="L942" s="1">
        <v>35256.2680909954</v>
      </c>
    </row>
    <row r="943" spans="1:12" x14ac:dyDescent="0.35">
      <c r="A943" t="s">
        <v>966</v>
      </c>
      <c r="B943" t="s">
        <v>24</v>
      </c>
      <c r="C943" t="s">
        <v>13</v>
      </c>
      <c r="D943" t="s">
        <v>14</v>
      </c>
      <c r="E943" s="3">
        <v>238761</v>
      </c>
      <c r="F943">
        <v>27592</v>
      </c>
      <c r="G943">
        <v>62</v>
      </c>
      <c r="H943" s="1">
        <v>0</v>
      </c>
      <c r="I943" s="1" t="s">
        <v>1102</v>
      </c>
      <c r="J943" t="s">
        <v>11</v>
      </c>
      <c r="K943" s="2">
        <v>297.60000000000002</v>
      </c>
      <c r="L943" s="1">
        <v>35297.599999999999</v>
      </c>
    </row>
    <row r="944" spans="1:12" x14ac:dyDescent="0.35">
      <c r="A944" t="s">
        <v>967</v>
      </c>
      <c r="B944" t="s">
        <v>8</v>
      </c>
      <c r="C944" t="s">
        <v>13</v>
      </c>
      <c r="D944" t="s">
        <v>26</v>
      </c>
      <c r="E944" s="3">
        <v>446534</v>
      </c>
      <c r="F944">
        <v>61846</v>
      </c>
      <c r="G944">
        <v>112</v>
      </c>
      <c r="H944" s="1">
        <v>0</v>
      </c>
      <c r="I944" s="1" t="s">
        <v>1102</v>
      </c>
      <c r="J944" t="s">
        <v>20</v>
      </c>
      <c r="K944" s="2">
        <v>215.81819999999999</v>
      </c>
      <c r="L944" s="1">
        <v>35215.818200000002</v>
      </c>
    </row>
    <row r="945" spans="1:12" x14ac:dyDescent="0.35">
      <c r="A945" t="s">
        <v>968</v>
      </c>
      <c r="B945" t="s">
        <v>28</v>
      </c>
      <c r="C945" t="s">
        <v>13</v>
      </c>
      <c r="D945" t="s">
        <v>22</v>
      </c>
      <c r="E945" s="3">
        <v>459163</v>
      </c>
      <c r="F945">
        <v>83297</v>
      </c>
      <c r="G945">
        <v>113</v>
      </c>
      <c r="H945" s="1">
        <v>0</v>
      </c>
      <c r="I945" s="1" t="s">
        <v>1102</v>
      </c>
      <c r="J945" t="s">
        <v>20</v>
      </c>
      <c r="K945" s="2">
        <v>542.4</v>
      </c>
      <c r="L945" s="1">
        <v>35542.400000000001</v>
      </c>
    </row>
    <row r="946" spans="1:12" x14ac:dyDescent="0.35">
      <c r="A946" t="s">
        <v>969</v>
      </c>
      <c r="B946" t="s">
        <v>28</v>
      </c>
      <c r="C946" t="s">
        <v>13</v>
      </c>
      <c r="D946" t="s">
        <v>26</v>
      </c>
      <c r="E946" s="3">
        <v>1309259</v>
      </c>
      <c r="F946">
        <v>0</v>
      </c>
      <c r="G946">
        <v>188</v>
      </c>
      <c r="H946" s="1">
        <v>0</v>
      </c>
      <c r="I946" s="1" t="s">
        <v>1112</v>
      </c>
      <c r="J946" t="s">
        <v>104</v>
      </c>
      <c r="K946" s="2">
        <v>1353.6</v>
      </c>
      <c r="L946" s="1">
        <v>36353.599999999999</v>
      </c>
    </row>
    <row r="947" spans="1:12" x14ac:dyDescent="0.35">
      <c r="A947" t="s">
        <v>970</v>
      </c>
      <c r="B947" t="s">
        <v>24</v>
      </c>
      <c r="C947" t="s">
        <v>19</v>
      </c>
      <c r="D947" t="s">
        <v>14</v>
      </c>
      <c r="E947" s="3">
        <v>911227</v>
      </c>
      <c r="F947">
        <v>0</v>
      </c>
      <c r="G947">
        <v>90</v>
      </c>
      <c r="H947" s="1">
        <v>0</v>
      </c>
      <c r="I947" s="1" t="s">
        <v>1102</v>
      </c>
      <c r="J947" t="s">
        <v>11</v>
      </c>
      <c r="K947" s="2">
        <v>432</v>
      </c>
      <c r="L947" s="1">
        <v>35432</v>
      </c>
    </row>
    <row r="948" spans="1:12" x14ac:dyDescent="0.35">
      <c r="A948" t="s">
        <v>971</v>
      </c>
      <c r="B948" t="s">
        <v>1</v>
      </c>
      <c r="C948" t="s">
        <v>13</v>
      </c>
      <c r="D948" t="s">
        <v>22</v>
      </c>
      <c r="E948" s="3">
        <v>416517</v>
      </c>
      <c r="F948">
        <v>55897</v>
      </c>
      <c r="G948">
        <v>104</v>
      </c>
      <c r="H948" s="1">
        <v>0</v>
      </c>
      <c r="I948" s="1" t="s">
        <v>1102</v>
      </c>
      <c r="J948" t="s">
        <v>11</v>
      </c>
      <c r="K948" s="2">
        <v>499.2</v>
      </c>
      <c r="L948" s="1">
        <v>35499.199999999997</v>
      </c>
    </row>
    <row r="949" spans="1:12" x14ac:dyDescent="0.35">
      <c r="A949" t="s">
        <v>972</v>
      </c>
      <c r="B949" t="s">
        <v>28</v>
      </c>
      <c r="C949" t="s">
        <v>19</v>
      </c>
      <c r="D949" t="s">
        <v>14</v>
      </c>
      <c r="E949" s="3">
        <v>265998</v>
      </c>
      <c r="F949">
        <v>21297</v>
      </c>
      <c r="G949">
        <v>71</v>
      </c>
      <c r="H949" s="1">
        <v>0</v>
      </c>
      <c r="I949" s="1" t="s">
        <v>1102</v>
      </c>
      <c r="J949" t="s">
        <v>11</v>
      </c>
      <c r="K949" s="2">
        <v>45.507952000000003</v>
      </c>
      <c r="L949" s="1">
        <v>35045.507952002299</v>
      </c>
    </row>
    <row r="950" spans="1:12" x14ac:dyDescent="0.35">
      <c r="A950" t="s">
        <v>973</v>
      </c>
      <c r="B950" t="s">
        <v>28</v>
      </c>
      <c r="C950" t="s">
        <v>13</v>
      </c>
      <c r="D950" t="s">
        <v>10</v>
      </c>
      <c r="E950" s="3">
        <v>1198659</v>
      </c>
      <c r="F950">
        <v>87560</v>
      </c>
      <c r="G950">
        <v>98</v>
      </c>
      <c r="H950" s="1">
        <v>36526</v>
      </c>
      <c r="I950" s="1" t="s">
        <v>1102</v>
      </c>
      <c r="J950" t="s">
        <v>17</v>
      </c>
      <c r="K950" s="2">
        <v>470.4</v>
      </c>
      <c r="L950" s="1">
        <v>35470.400000000001</v>
      </c>
    </row>
    <row r="951" spans="1:12" x14ac:dyDescent="0.35">
      <c r="A951" t="s">
        <v>974</v>
      </c>
      <c r="B951" t="s">
        <v>24</v>
      </c>
      <c r="C951" t="s">
        <v>13</v>
      </c>
      <c r="D951" t="s">
        <v>22</v>
      </c>
      <c r="E951" s="3">
        <v>289873</v>
      </c>
      <c r="F951">
        <v>0</v>
      </c>
      <c r="G951">
        <v>96</v>
      </c>
      <c r="H951" s="1">
        <v>36617</v>
      </c>
      <c r="I951" s="1" t="s">
        <v>1102</v>
      </c>
      <c r="J951" t="s">
        <v>11</v>
      </c>
      <c r="K951" s="2">
        <v>691.2</v>
      </c>
      <c r="L951" s="1">
        <v>35691.199999999997</v>
      </c>
    </row>
    <row r="952" spans="1:12" x14ac:dyDescent="0.35">
      <c r="A952" t="s">
        <v>975</v>
      </c>
      <c r="B952" t="s">
        <v>24</v>
      </c>
      <c r="C952" t="s">
        <v>13</v>
      </c>
      <c r="D952" t="s">
        <v>14</v>
      </c>
      <c r="E952" s="3">
        <v>289424</v>
      </c>
      <c r="F952">
        <v>0</v>
      </c>
      <c r="G952">
        <v>85</v>
      </c>
      <c r="H952" s="1">
        <v>0</v>
      </c>
      <c r="I952" s="1" t="s">
        <v>1102</v>
      </c>
      <c r="J952" t="s">
        <v>11</v>
      </c>
      <c r="K952" s="2">
        <v>408</v>
      </c>
      <c r="L952" s="1">
        <v>35408</v>
      </c>
    </row>
    <row r="953" spans="1:12" x14ac:dyDescent="0.35">
      <c r="A953" t="s">
        <v>976</v>
      </c>
      <c r="B953" t="s">
        <v>28</v>
      </c>
      <c r="C953" t="s">
        <v>13</v>
      </c>
      <c r="D953" t="s">
        <v>68</v>
      </c>
      <c r="E953" s="3">
        <v>350045</v>
      </c>
      <c r="F953">
        <v>89398</v>
      </c>
      <c r="G953">
        <v>86</v>
      </c>
      <c r="H953" s="1">
        <v>0</v>
      </c>
      <c r="I953" s="1" t="s">
        <v>1102</v>
      </c>
      <c r="J953" t="s">
        <v>11</v>
      </c>
      <c r="K953" s="2">
        <v>82.409921999999995</v>
      </c>
      <c r="L953" s="1">
        <v>35082.409922002298</v>
      </c>
    </row>
    <row r="954" spans="1:12" x14ac:dyDescent="0.35">
      <c r="A954" t="s">
        <v>977</v>
      </c>
      <c r="B954" t="s">
        <v>1</v>
      </c>
      <c r="C954" t="s">
        <v>13</v>
      </c>
      <c r="D954" t="s">
        <v>26</v>
      </c>
      <c r="E954" s="3">
        <v>262181</v>
      </c>
      <c r="F954">
        <v>36843</v>
      </c>
      <c r="G954">
        <v>68</v>
      </c>
      <c r="H954" s="1">
        <v>36586</v>
      </c>
      <c r="I954" s="1" t="s">
        <v>1105</v>
      </c>
      <c r="J954" t="s">
        <v>11</v>
      </c>
      <c r="K954" s="2">
        <v>357.64298200000002</v>
      </c>
      <c r="L954" s="1">
        <v>35357.642982002297</v>
      </c>
    </row>
    <row r="955" spans="1:12" x14ac:dyDescent="0.35">
      <c r="A955" t="s">
        <v>978</v>
      </c>
      <c r="B955" t="s">
        <v>24</v>
      </c>
      <c r="C955" t="s">
        <v>13</v>
      </c>
      <c r="D955" t="s">
        <v>26</v>
      </c>
      <c r="E955" s="3">
        <v>1022181</v>
      </c>
      <c r="F955">
        <v>0</v>
      </c>
      <c r="G955">
        <v>134</v>
      </c>
      <c r="H955" s="1">
        <v>0</v>
      </c>
      <c r="I955" s="1" t="s">
        <v>1102</v>
      </c>
      <c r="J955" t="s">
        <v>20</v>
      </c>
      <c r="K955" s="2">
        <v>643.20000000000005</v>
      </c>
      <c r="L955" s="1">
        <v>35643.199999999997</v>
      </c>
    </row>
    <row r="956" spans="1:12" x14ac:dyDescent="0.35">
      <c r="A956" t="s">
        <v>979</v>
      </c>
      <c r="B956" t="s">
        <v>1</v>
      </c>
      <c r="C956" t="s">
        <v>19</v>
      </c>
      <c r="D956" t="s">
        <v>22</v>
      </c>
      <c r="E956" s="3">
        <v>257827</v>
      </c>
      <c r="F956">
        <v>34946</v>
      </c>
      <c r="G956">
        <v>65</v>
      </c>
      <c r="H956" s="1">
        <v>0</v>
      </c>
      <c r="I956" s="1" t="s">
        <v>1102</v>
      </c>
      <c r="J956" t="s">
        <v>17</v>
      </c>
      <c r="K956" s="2">
        <v>420.35698000000002</v>
      </c>
      <c r="L956" s="1">
        <v>35420.356979999997</v>
      </c>
    </row>
    <row r="957" spans="1:12" x14ac:dyDescent="0.35">
      <c r="A957" t="s">
        <v>980</v>
      </c>
      <c r="B957" t="s">
        <v>28</v>
      </c>
      <c r="C957" t="s">
        <v>13</v>
      </c>
      <c r="D957" t="s">
        <v>26</v>
      </c>
      <c r="E957" s="3">
        <v>624260</v>
      </c>
      <c r="F957">
        <v>75680</v>
      </c>
      <c r="G957">
        <v>78</v>
      </c>
      <c r="H957" s="1">
        <v>0</v>
      </c>
      <c r="I957" s="1" t="s">
        <v>1102</v>
      </c>
      <c r="J957" t="s">
        <v>11</v>
      </c>
      <c r="K957" s="2">
        <v>136.78772499999999</v>
      </c>
      <c r="L957" s="1">
        <v>35136.787725000002</v>
      </c>
    </row>
    <row r="958" spans="1:12" x14ac:dyDescent="0.35">
      <c r="A958" t="s">
        <v>981</v>
      </c>
      <c r="B958" t="s">
        <v>16</v>
      </c>
      <c r="C958" t="s">
        <v>13</v>
      </c>
      <c r="D958" t="s">
        <v>68</v>
      </c>
      <c r="E958" s="3">
        <v>522028</v>
      </c>
      <c r="F958">
        <v>0</v>
      </c>
      <c r="G958">
        <v>69</v>
      </c>
      <c r="H958" s="1">
        <v>0</v>
      </c>
      <c r="I958" s="1" t="s">
        <v>1102</v>
      </c>
      <c r="J958" t="s">
        <v>11</v>
      </c>
      <c r="K958" s="2">
        <v>331.2</v>
      </c>
      <c r="L958" s="1">
        <v>35331.199999999997</v>
      </c>
    </row>
    <row r="959" spans="1:12" x14ac:dyDescent="0.35">
      <c r="A959" t="s">
        <v>982</v>
      </c>
      <c r="B959" t="s">
        <v>8</v>
      </c>
      <c r="C959" t="s">
        <v>13</v>
      </c>
      <c r="D959" t="s">
        <v>26</v>
      </c>
      <c r="E959" s="3">
        <v>313643</v>
      </c>
      <c r="F959">
        <v>49532</v>
      </c>
      <c r="G959">
        <v>79</v>
      </c>
      <c r="H959" s="1">
        <v>36526</v>
      </c>
      <c r="I959" s="1" t="s">
        <v>1102</v>
      </c>
      <c r="J959" t="s">
        <v>11</v>
      </c>
      <c r="K959" s="2">
        <v>220.186677</v>
      </c>
      <c r="L959" s="1">
        <v>35220.186677002297</v>
      </c>
    </row>
    <row r="960" spans="1:12" x14ac:dyDescent="0.35">
      <c r="A960" t="s">
        <v>983</v>
      </c>
      <c r="B960" t="s">
        <v>28</v>
      </c>
      <c r="C960" t="s">
        <v>19</v>
      </c>
      <c r="D960" t="s">
        <v>14</v>
      </c>
      <c r="E960" s="3">
        <v>452537</v>
      </c>
      <c r="F960">
        <v>10269</v>
      </c>
      <c r="G960">
        <v>65</v>
      </c>
      <c r="H960" s="1">
        <v>0</v>
      </c>
      <c r="I960" s="1" t="s">
        <v>1102</v>
      </c>
      <c r="J960" t="s">
        <v>17</v>
      </c>
      <c r="K960" s="2">
        <v>170.798204</v>
      </c>
      <c r="L960" s="1">
        <v>35170.798204004597</v>
      </c>
    </row>
    <row r="961" spans="1:12" x14ac:dyDescent="0.35">
      <c r="A961" t="s">
        <v>984</v>
      </c>
      <c r="B961" t="s">
        <v>1</v>
      </c>
      <c r="C961" t="s">
        <v>19</v>
      </c>
      <c r="D961" t="s">
        <v>26</v>
      </c>
      <c r="E961" s="3">
        <v>497036</v>
      </c>
      <c r="F961">
        <v>49714</v>
      </c>
      <c r="G961">
        <v>63</v>
      </c>
      <c r="H961" s="1">
        <v>36586</v>
      </c>
      <c r="I961" s="1" t="s">
        <v>1102</v>
      </c>
      <c r="J961" t="s">
        <v>11</v>
      </c>
      <c r="K961" s="2">
        <v>266.16553499999998</v>
      </c>
      <c r="L961" s="1">
        <v>35266.165535</v>
      </c>
    </row>
    <row r="962" spans="1:12" x14ac:dyDescent="0.35">
      <c r="A962" t="s">
        <v>985</v>
      </c>
      <c r="B962" t="s">
        <v>1</v>
      </c>
      <c r="C962" t="s">
        <v>19</v>
      </c>
      <c r="D962" t="s">
        <v>22</v>
      </c>
      <c r="E962" s="3">
        <v>1546779</v>
      </c>
      <c r="F962">
        <v>77517</v>
      </c>
      <c r="G962">
        <v>129</v>
      </c>
      <c r="H962" s="1">
        <v>0</v>
      </c>
      <c r="I962" s="1" t="s">
        <v>1105</v>
      </c>
      <c r="J962" t="s">
        <v>20</v>
      </c>
      <c r="K962" s="2">
        <v>98.921781999999993</v>
      </c>
      <c r="L962" s="1">
        <v>35098.921782002297</v>
      </c>
    </row>
    <row r="963" spans="1:12" x14ac:dyDescent="0.35">
      <c r="A963" t="s">
        <v>986</v>
      </c>
      <c r="B963" t="s">
        <v>24</v>
      </c>
      <c r="C963" t="s">
        <v>19</v>
      </c>
      <c r="D963" t="s">
        <v>22</v>
      </c>
      <c r="E963" s="3">
        <v>583890</v>
      </c>
      <c r="F963">
        <v>81082</v>
      </c>
      <c r="G963">
        <v>73</v>
      </c>
      <c r="H963" s="1">
        <v>0</v>
      </c>
      <c r="I963" s="1" t="s">
        <v>1102</v>
      </c>
      <c r="J963" t="s">
        <v>11</v>
      </c>
      <c r="K963" s="2">
        <v>281.29590300000001</v>
      </c>
      <c r="L963" s="1">
        <v>35281.295902997699</v>
      </c>
    </row>
    <row r="964" spans="1:12" x14ac:dyDescent="0.35">
      <c r="A964" t="s">
        <v>987</v>
      </c>
      <c r="B964" t="s">
        <v>24</v>
      </c>
      <c r="C964" t="s">
        <v>13</v>
      </c>
      <c r="D964" t="s">
        <v>14</v>
      </c>
      <c r="E964" s="3">
        <v>1065688</v>
      </c>
      <c r="F964">
        <v>72540</v>
      </c>
      <c r="G964">
        <v>88</v>
      </c>
      <c r="H964" s="1">
        <v>0</v>
      </c>
      <c r="I964" s="1" t="s">
        <v>1105</v>
      </c>
      <c r="J964" t="s">
        <v>17</v>
      </c>
      <c r="K964" s="2">
        <v>631.74303899999995</v>
      </c>
      <c r="L964" s="1">
        <v>35631.743039004599</v>
      </c>
    </row>
    <row r="965" spans="1:12" x14ac:dyDescent="0.35">
      <c r="A965" t="s">
        <v>988</v>
      </c>
      <c r="B965" t="s">
        <v>24</v>
      </c>
      <c r="C965" t="s">
        <v>13</v>
      </c>
      <c r="D965" t="s">
        <v>22</v>
      </c>
      <c r="E965" s="3">
        <v>228962</v>
      </c>
      <c r="F965">
        <v>0</v>
      </c>
      <c r="G965">
        <v>65</v>
      </c>
      <c r="H965" s="1">
        <v>0</v>
      </c>
      <c r="I965" s="1" t="s">
        <v>1102</v>
      </c>
      <c r="J965" t="s">
        <v>11</v>
      </c>
      <c r="K965" s="2">
        <v>468</v>
      </c>
      <c r="L965" s="1">
        <v>35468</v>
      </c>
    </row>
    <row r="966" spans="1:12" x14ac:dyDescent="0.35">
      <c r="A966" t="s">
        <v>989</v>
      </c>
      <c r="B966" t="s">
        <v>1</v>
      </c>
      <c r="C966" t="s">
        <v>19</v>
      </c>
      <c r="D966" t="s">
        <v>22</v>
      </c>
      <c r="E966" s="3">
        <v>543980</v>
      </c>
      <c r="F966">
        <v>61546</v>
      </c>
      <c r="G966">
        <v>68</v>
      </c>
      <c r="H966" s="1">
        <v>0</v>
      </c>
      <c r="I966" s="1" t="s">
        <v>1105</v>
      </c>
      <c r="J966" t="s">
        <v>17</v>
      </c>
      <c r="K966" s="2">
        <v>29.209520999999999</v>
      </c>
      <c r="L966" s="1">
        <v>35029.209520995399</v>
      </c>
    </row>
    <row r="967" spans="1:12" x14ac:dyDescent="0.35">
      <c r="A967" t="s">
        <v>990</v>
      </c>
      <c r="B967" t="s">
        <v>1</v>
      </c>
      <c r="C967" t="s">
        <v>13</v>
      </c>
      <c r="D967" t="s">
        <v>10</v>
      </c>
      <c r="E967" s="3">
        <v>795615</v>
      </c>
      <c r="F967">
        <v>44818</v>
      </c>
      <c r="G967">
        <v>67</v>
      </c>
      <c r="H967" s="1">
        <v>36526</v>
      </c>
      <c r="I967" s="1" t="s">
        <v>1102</v>
      </c>
      <c r="J967" t="s">
        <v>17</v>
      </c>
      <c r="K967" s="2">
        <v>136.88399899999999</v>
      </c>
      <c r="L967" s="1">
        <v>35136.883999004604</v>
      </c>
    </row>
    <row r="968" spans="1:12" x14ac:dyDescent="0.35">
      <c r="A968" t="s">
        <v>991</v>
      </c>
      <c r="B968" t="s">
        <v>28</v>
      </c>
      <c r="C968" t="s">
        <v>19</v>
      </c>
      <c r="D968" t="s">
        <v>14</v>
      </c>
      <c r="E968" s="3">
        <v>445811</v>
      </c>
      <c r="F968">
        <v>17622</v>
      </c>
      <c r="G968">
        <v>65</v>
      </c>
      <c r="H968" s="1">
        <v>36526</v>
      </c>
      <c r="I968" s="1" t="s">
        <v>1102</v>
      </c>
      <c r="J968" t="s">
        <v>11</v>
      </c>
      <c r="K968" s="2">
        <v>312</v>
      </c>
      <c r="L968" s="1">
        <v>35312</v>
      </c>
    </row>
    <row r="969" spans="1:12" x14ac:dyDescent="0.35">
      <c r="A969" t="s">
        <v>992</v>
      </c>
      <c r="B969" t="s">
        <v>24</v>
      </c>
      <c r="C969" t="s">
        <v>13</v>
      </c>
      <c r="D969" t="s">
        <v>26</v>
      </c>
      <c r="E969" s="3">
        <v>255505</v>
      </c>
      <c r="F969">
        <v>0</v>
      </c>
      <c r="G969">
        <v>72</v>
      </c>
      <c r="H969" s="1">
        <v>0</v>
      </c>
      <c r="I969" s="1" t="s">
        <v>1102</v>
      </c>
      <c r="J969" t="s">
        <v>11</v>
      </c>
      <c r="K969" s="2">
        <v>518.4</v>
      </c>
      <c r="L969" s="1">
        <v>35518.400000000001</v>
      </c>
    </row>
    <row r="970" spans="1:12" x14ac:dyDescent="0.35">
      <c r="A970" t="s">
        <v>993</v>
      </c>
      <c r="B970" t="s">
        <v>1</v>
      </c>
      <c r="C970" t="s">
        <v>19</v>
      </c>
      <c r="D970" t="s">
        <v>14</v>
      </c>
      <c r="E970" s="3">
        <v>330800</v>
      </c>
      <c r="F970">
        <v>79797</v>
      </c>
      <c r="G970">
        <v>84</v>
      </c>
      <c r="H970" s="1">
        <v>0</v>
      </c>
      <c r="I970" s="1" t="s">
        <v>1105</v>
      </c>
      <c r="J970" t="s">
        <v>17</v>
      </c>
      <c r="K970" s="2">
        <v>31.755600999999999</v>
      </c>
      <c r="L970" s="1">
        <v>35031.755600995399</v>
      </c>
    </row>
    <row r="971" spans="1:12" x14ac:dyDescent="0.35">
      <c r="A971" t="s">
        <v>994</v>
      </c>
      <c r="B971" t="s">
        <v>8</v>
      </c>
      <c r="C971" t="s">
        <v>13</v>
      </c>
      <c r="D971" t="s">
        <v>26</v>
      </c>
      <c r="E971" s="3">
        <v>845905</v>
      </c>
      <c r="F971">
        <v>92717</v>
      </c>
      <c r="G971">
        <v>70</v>
      </c>
      <c r="H971" s="1">
        <v>0</v>
      </c>
      <c r="I971" s="1" t="s">
        <v>1102</v>
      </c>
      <c r="J971" t="s">
        <v>17</v>
      </c>
      <c r="K971" s="2">
        <v>224.27582000000001</v>
      </c>
      <c r="L971" s="1">
        <v>35224.275820000003</v>
      </c>
    </row>
    <row r="972" spans="1:12" x14ac:dyDescent="0.35">
      <c r="A972" t="s">
        <v>995</v>
      </c>
      <c r="B972" t="s">
        <v>24</v>
      </c>
      <c r="C972" t="s">
        <v>13</v>
      </c>
      <c r="D972" t="s">
        <v>26</v>
      </c>
      <c r="E972" s="3">
        <v>1335012</v>
      </c>
      <c r="F972">
        <v>28919</v>
      </c>
      <c r="G972">
        <v>173</v>
      </c>
      <c r="H972" s="1">
        <v>0</v>
      </c>
      <c r="I972" s="1" t="s">
        <v>1102</v>
      </c>
      <c r="J972" t="s">
        <v>20</v>
      </c>
      <c r="K972" s="2">
        <v>830.4</v>
      </c>
      <c r="L972" s="1">
        <v>35830.400000000001</v>
      </c>
    </row>
    <row r="973" spans="1:12" x14ac:dyDescent="0.35">
      <c r="A973" t="s">
        <v>996</v>
      </c>
      <c r="B973" t="s">
        <v>28</v>
      </c>
      <c r="C973" t="s">
        <v>19</v>
      </c>
      <c r="D973" t="s">
        <v>26</v>
      </c>
      <c r="E973" s="3">
        <v>493122</v>
      </c>
      <c r="F973">
        <v>0</v>
      </c>
      <c r="G973">
        <v>68</v>
      </c>
      <c r="H973" s="1">
        <v>0</v>
      </c>
      <c r="I973" s="1" t="s">
        <v>1102</v>
      </c>
      <c r="J973" t="s">
        <v>11</v>
      </c>
      <c r="K973" s="2">
        <v>480.15901100000002</v>
      </c>
      <c r="L973" s="1">
        <v>35480.159010995398</v>
      </c>
    </row>
    <row r="974" spans="1:12" x14ac:dyDescent="0.35">
      <c r="A974" t="s">
        <v>997</v>
      </c>
      <c r="B974" t="s">
        <v>16</v>
      </c>
      <c r="C974" t="s">
        <v>19</v>
      </c>
      <c r="D974" t="s">
        <v>14</v>
      </c>
      <c r="E974" s="3">
        <v>777684</v>
      </c>
      <c r="F974">
        <v>63568</v>
      </c>
      <c r="G974">
        <v>65</v>
      </c>
      <c r="H974" s="1">
        <v>0</v>
      </c>
      <c r="I974" s="1" t="s">
        <v>1105</v>
      </c>
      <c r="J974" t="s">
        <v>17</v>
      </c>
      <c r="K974" s="2">
        <v>390.792553</v>
      </c>
      <c r="L974" s="1">
        <v>35390.7925529977</v>
      </c>
    </row>
    <row r="975" spans="1:12" x14ac:dyDescent="0.35">
      <c r="A975" t="s">
        <v>998</v>
      </c>
      <c r="B975" t="s">
        <v>16</v>
      </c>
      <c r="C975" t="s">
        <v>13</v>
      </c>
      <c r="D975" t="s">
        <v>26</v>
      </c>
      <c r="E975" s="3">
        <v>255367</v>
      </c>
      <c r="F975">
        <v>73935</v>
      </c>
      <c r="G975">
        <v>64</v>
      </c>
      <c r="H975" s="1">
        <v>36526</v>
      </c>
      <c r="I975" s="1" t="s">
        <v>1105</v>
      </c>
      <c r="J975" t="s">
        <v>11</v>
      </c>
      <c r="K975" s="2">
        <v>72.071195000000003</v>
      </c>
      <c r="L975" s="1">
        <v>35072.071194999997</v>
      </c>
    </row>
    <row r="976" spans="1:12" x14ac:dyDescent="0.35">
      <c r="A976" t="s">
        <v>999</v>
      </c>
      <c r="B976" t="s">
        <v>28</v>
      </c>
      <c r="C976" t="s">
        <v>13</v>
      </c>
      <c r="D976" t="s">
        <v>22</v>
      </c>
      <c r="E976" s="3">
        <v>487647</v>
      </c>
      <c r="F976">
        <v>0</v>
      </c>
      <c r="G976">
        <v>66</v>
      </c>
      <c r="H976" s="1">
        <v>0</v>
      </c>
      <c r="I976" s="1" t="s">
        <v>1105</v>
      </c>
      <c r="J976" t="s">
        <v>17</v>
      </c>
      <c r="K976" s="2">
        <v>316.8</v>
      </c>
      <c r="L976" s="1">
        <v>35316.800000000003</v>
      </c>
    </row>
    <row r="977" spans="1:12" x14ac:dyDescent="0.35">
      <c r="A977" t="s">
        <v>1000</v>
      </c>
      <c r="B977" t="s">
        <v>24</v>
      </c>
      <c r="C977" t="s">
        <v>13</v>
      </c>
      <c r="D977" t="s">
        <v>14</v>
      </c>
      <c r="E977" s="3">
        <v>903431</v>
      </c>
      <c r="F977">
        <v>18846</v>
      </c>
      <c r="G977">
        <v>115</v>
      </c>
      <c r="H977" s="1">
        <v>0</v>
      </c>
      <c r="I977" s="1" t="s">
        <v>1102</v>
      </c>
      <c r="J977" t="s">
        <v>20</v>
      </c>
      <c r="K977" s="2">
        <v>552</v>
      </c>
      <c r="L977" s="1">
        <v>35552</v>
      </c>
    </row>
    <row r="978" spans="1:12" x14ac:dyDescent="0.35">
      <c r="A978" t="s">
        <v>1001</v>
      </c>
      <c r="B978" t="s">
        <v>28</v>
      </c>
      <c r="C978" t="s">
        <v>13</v>
      </c>
      <c r="D978" t="s">
        <v>22</v>
      </c>
      <c r="E978" s="3">
        <v>810591</v>
      </c>
      <c r="F978">
        <v>38893</v>
      </c>
      <c r="G978">
        <v>103</v>
      </c>
      <c r="H978" s="1">
        <v>0</v>
      </c>
      <c r="I978" s="1" t="s">
        <v>1102</v>
      </c>
      <c r="J978" t="s">
        <v>20</v>
      </c>
      <c r="K978" s="2">
        <v>41.965252</v>
      </c>
      <c r="L978" s="1">
        <v>35041.965252002301</v>
      </c>
    </row>
    <row r="979" spans="1:12" x14ac:dyDescent="0.35">
      <c r="A979" t="s">
        <v>1002</v>
      </c>
      <c r="B979" t="s">
        <v>24</v>
      </c>
      <c r="C979" t="s">
        <v>19</v>
      </c>
      <c r="D979" t="s">
        <v>22</v>
      </c>
      <c r="E979" s="3">
        <v>561969</v>
      </c>
      <c r="F979">
        <v>0</v>
      </c>
      <c r="G979">
        <v>153</v>
      </c>
      <c r="H979" s="1">
        <v>0</v>
      </c>
      <c r="I979" s="1" t="s">
        <v>1112</v>
      </c>
      <c r="J979" t="s">
        <v>20</v>
      </c>
      <c r="K979" s="2">
        <v>1027.000029</v>
      </c>
      <c r="L979" s="1">
        <v>36027.000029004601</v>
      </c>
    </row>
    <row r="980" spans="1:12" x14ac:dyDescent="0.35">
      <c r="A980" t="s">
        <v>1003</v>
      </c>
      <c r="B980" t="s">
        <v>1</v>
      </c>
      <c r="C980" t="s">
        <v>19</v>
      </c>
      <c r="D980" t="s">
        <v>14</v>
      </c>
      <c r="E980" s="3">
        <v>1572713</v>
      </c>
      <c r="F980">
        <v>84824</v>
      </c>
      <c r="G980">
        <v>196</v>
      </c>
      <c r="H980" s="1">
        <v>0</v>
      </c>
      <c r="I980" s="1" t="s">
        <v>1105</v>
      </c>
      <c r="J980" t="s">
        <v>20</v>
      </c>
      <c r="K980" s="2">
        <v>319.82074699999998</v>
      </c>
      <c r="L980" s="1">
        <v>35319.820747002297</v>
      </c>
    </row>
    <row r="981" spans="1:12" x14ac:dyDescent="0.35">
      <c r="A981" t="s">
        <v>1004</v>
      </c>
      <c r="B981" t="s">
        <v>1</v>
      </c>
      <c r="C981" t="s">
        <v>13</v>
      </c>
      <c r="D981" t="s">
        <v>22</v>
      </c>
      <c r="E981" s="3">
        <v>661802</v>
      </c>
      <c r="F981">
        <v>20068</v>
      </c>
      <c r="G981">
        <v>86</v>
      </c>
      <c r="H981" s="1">
        <v>0</v>
      </c>
      <c r="I981" s="1" t="s">
        <v>1105</v>
      </c>
      <c r="J981" t="s">
        <v>11</v>
      </c>
      <c r="K981" s="2">
        <v>411.01116200000001</v>
      </c>
      <c r="L981" s="1">
        <v>35411.011162002302</v>
      </c>
    </row>
    <row r="982" spans="1:12" x14ac:dyDescent="0.35">
      <c r="A982" t="s">
        <v>1005</v>
      </c>
      <c r="B982" t="s">
        <v>24</v>
      </c>
      <c r="C982" t="s">
        <v>19</v>
      </c>
      <c r="D982" t="s">
        <v>68</v>
      </c>
      <c r="E982" s="3">
        <v>467005</v>
      </c>
      <c r="F982">
        <v>0</v>
      </c>
      <c r="G982">
        <v>125</v>
      </c>
      <c r="H982" s="1">
        <v>0</v>
      </c>
      <c r="I982" s="1" t="s">
        <v>1105</v>
      </c>
      <c r="J982" t="s">
        <v>20</v>
      </c>
      <c r="K982" s="2">
        <v>600</v>
      </c>
      <c r="L982" s="1">
        <v>35600</v>
      </c>
    </row>
    <row r="983" spans="1:12" x14ac:dyDescent="0.35">
      <c r="A983" t="s">
        <v>1006</v>
      </c>
      <c r="B983" t="s">
        <v>28</v>
      </c>
      <c r="C983" t="s">
        <v>13</v>
      </c>
      <c r="D983" t="s">
        <v>22</v>
      </c>
      <c r="E983" s="3">
        <v>1016937</v>
      </c>
      <c r="F983">
        <v>0</v>
      </c>
      <c r="G983">
        <v>135</v>
      </c>
      <c r="H983" s="1">
        <v>0</v>
      </c>
      <c r="I983" s="1" t="s">
        <v>1102</v>
      </c>
      <c r="J983" t="s">
        <v>66</v>
      </c>
      <c r="K983" s="2">
        <v>648</v>
      </c>
      <c r="L983" s="1">
        <v>35648</v>
      </c>
    </row>
    <row r="984" spans="1:12" x14ac:dyDescent="0.35">
      <c r="A984" t="s">
        <v>1007</v>
      </c>
      <c r="B984" t="s">
        <v>1</v>
      </c>
      <c r="C984" t="s">
        <v>19</v>
      </c>
      <c r="D984" t="s">
        <v>14</v>
      </c>
      <c r="E984" s="3">
        <v>832307</v>
      </c>
      <c r="F984">
        <v>97245</v>
      </c>
      <c r="G984">
        <v>70</v>
      </c>
      <c r="H984" s="1">
        <v>0</v>
      </c>
      <c r="I984" s="1" t="s">
        <v>1102</v>
      </c>
      <c r="J984" t="s">
        <v>11</v>
      </c>
      <c r="K984" s="2">
        <v>4.1105850000000004</v>
      </c>
      <c r="L984" s="1">
        <v>35004.110585000002</v>
      </c>
    </row>
    <row r="985" spans="1:12" x14ac:dyDescent="0.35">
      <c r="A985" t="s">
        <v>1008</v>
      </c>
      <c r="B985" t="s">
        <v>1</v>
      </c>
      <c r="C985" t="s">
        <v>13</v>
      </c>
      <c r="D985" t="s">
        <v>26</v>
      </c>
      <c r="E985" s="3">
        <v>241776</v>
      </c>
      <c r="F985">
        <v>51808</v>
      </c>
      <c r="G985">
        <v>61</v>
      </c>
      <c r="H985" s="1">
        <v>36526</v>
      </c>
      <c r="I985" s="1" t="s">
        <v>1102</v>
      </c>
      <c r="J985" t="s">
        <v>11</v>
      </c>
      <c r="K985" s="2">
        <v>351.14990399999999</v>
      </c>
      <c r="L985" s="1">
        <v>35351.149904004596</v>
      </c>
    </row>
    <row r="986" spans="1:12" x14ac:dyDescent="0.35">
      <c r="A986" t="s">
        <v>1009</v>
      </c>
      <c r="B986" t="s">
        <v>1</v>
      </c>
      <c r="C986" t="s">
        <v>19</v>
      </c>
      <c r="D986" t="s">
        <v>14</v>
      </c>
      <c r="E986" s="3">
        <v>804487</v>
      </c>
      <c r="F986">
        <v>71391</v>
      </c>
      <c r="G986">
        <v>67</v>
      </c>
      <c r="H986" s="1">
        <v>0</v>
      </c>
      <c r="I986" s="1" t="s">
        <v>1102</v>
      </c>
      <c r="J986" t="s">
        <v>11</v>
      </c>
      <c r="K986" s="2">
        <v>284.00017200000002</v>
      </c>
      <c r="L986" s="1">
        <v>35284.000172002299</v>
      </c>
    </row>
    <row r="987" spans="1:12" x14ac:dyDescent="0.35">
      <c r="A987" t="s">
        <v>1010</v>
      </c>
      <c r="B987" t="s">
        <v>24</v>
      </c>
      <c r="C987" t="s">
        <v>19</v>
      </c>
      <c r="D987" t="s">
        <v>22</v>
      </c>
      <c r="E987" s="3">
        <v>532572</v>
      </c>
      <c r="F987">
        <v>0</v>
      </c>
      <c r="G987">
        <v>73</v>
      </c>
      <c r="H987" s="1">
        <v>0</v>
      </c>
      <c r="I987" s="1" t="s">
        <v>1102</v>
      </c>
      <c r="J987" t="s">
        <v>17</v>
      </c>
      <c r="K987" s="2">
        <v>496.47476699999999</v>
      </c>
      <c r="L987" s="1">
        <v>35496.474767002299</v>
      </c>
    </row>
    <row r="988" spans="1:12" x14ac:dyDescent="0.35">
      <c r="A988" t="s">
        <v>1011</v>
      </c>
      <c r="B988" t="s">
        <v>28</v>
      </c>
      <c r="C988" t="s">
        <v>19</v>
      </c>
      <c r="D988" t="s">
        <v>14</v>
      </c>
      <c r="E988" s="3">
        <v>694752</v>
      </c>
      <c r="F988">
        <v>0</v>
      </c>
      <c r="G988">
        <v>100</v>
      </c>
      <c r="H988" s="1">
        <v>0</v>
      </c>
      <c r="I988" s="1" t="s">
        <v>1102</v>
      </c>
      <c r="J988" t="s">
        <v>20</v>
      </c>
      <c r="K988" s="2">
        <v>925.13714300000004</v>
      </c>
      <c r="L988" s="1">
        <v>35925.137142997701</v>
      </c>
    </row>
    <row r="989" spans="1:12" x14ac:dyDescent="0.35">
      <c r="A989" t="s">
        <v>1012</v>
      </c>
      <c r="B989" t="s">
        <v>24</v>
      </c>
      <c r="C989" t="s">
        <v>13</v>
      </c>
      <c r="D989" t="s">
        <v>26</v>
      </c>
      <c r="E989" s="3">
        <v>584742</v>
      </c>
      <c r="F989">
        <v>23496</v>
      </c>
      <c r="G989">
        <v>77</v>
      </c>
      <c r="H989" s="1">
        <v>0</v>
      </c>
      <c r="I989" s="1" t="s">
        <v>1112</v>
      </c>
      <c r="J989" t="s">
        <v>11</v>
      </c>
      <c r="K989" s="2">
        <v>13.164097</v>
      </c>
      <c r="L989" s="1">
        <v>35013.1640970023</v>
      </c>
    </row>
    <row r="990" spans="1:12" x14ac:dyDescent="0.35">
      <c r="A990" t="s">
        <v>1013</v>
      </c>
      <c r="B990" t="s">
        <v>8</v>
      </c>
      <c r="C990" t="s">
        <v>19</v>
      </c>
      <c r="D990" t="s">
        <v>22</v>
      </c>
      <c r="E990" s="3">
        <v>0</v>
      </c>
      <c r="F990">
        <v>55561</v>
      </c>
      <c r="G990">
        <v>63</v>
      </c>
      <c r="H990" s="1">
        <v>0</v>
      </c>
      <c r="I990" s="1" t="s">
        <v>1102</v>
      </c>
      <c r="J990" t="s">
        <v>11</v>
      </c>
      <c r="K990" s="2">
        <v>227.87207100000001</v>
      </c>
      <c r="L990" s="1">
        <v>35227.8720709954</v>
      </c>
    </row>
    <row r="991" spans="1:12" x14ac:dyDescent="0.35">
      <c r="A991" t="s">
        <v>1014</v>
      </c>
      <c r="B991" t="s">
        <v>16</v>
      </c>
      <c r="C991" t="s">
        <v>13</v>
      </c>
      <c r="D991" t="s">
        <v>26</v>
      </c>
      <c r="E991" s="3">
        <v>472479</v>
      </c>
      <c r="F991">
        <v>23986</v>
      </c>
      <c r="G991">
        <v>119</v>
      </c>
      <c r="H991" s="1">
        <v>0</v>
      </c>
      <c r="I991" s="1" t="s">
        <v>1105</v>
      </c>
      <c r="J991" t="s">
        <v>20</v>
      </c>
      <c r="K991" s="2">
        <v>463.335061</v>
      </c>
      <c r="L991" s="1">
        <v>35463.3350609954</v>
      </c>
    </row>
    <row r="992" spans="1:12" x14ac:dyDescent="0.35">
      <c r="A992" t="s">
        <v>1015</v>
      </c>
      <c r="B992" t="s">
        <v>28</v>
      </c>
      <c r="C992" t="s">
        <v>13</v>
      </c>
      <c r="D992" t="s">
        <v>10</v>
      </c>
      <c r="E992" s="3">
        <v>279023</v>
      </c>
      <c r="F992">
        <v>22974</v>
      </c>
      <c r="G992">
        <v>71</v>
      </c>
      <c r="H992" s="1">
        <v>0</v>
      </c>
      <c r="I992" s="1" t="s">
        <v>1102</v>
      </c>
      <c r="J992" t="s">
        <v>11</v>
      </c>
      <c r="K992" s="2">
        <v>180.667969</v>
      </c>
      <c r="L992" s="1">
        <v>35180.6679690046</v>
      </c>
    </row>
    <row r="993" spans="1:12" x14ac:dyDescent="0.35">
      <c r="A993" t="s">
        <v>1016</v>
      </c>
      <c r="B993" t="s">
        <v>24</v>
      </c>
      <c r="C993" t="s">
        <v>13</v>
      </c>
      <c r="D993" t="s">
        <v>22</v>
      </c>
      <c r="E993" s="3">
        <v>2153133</v>
      </c>
      <c r="F993">
        <v>0</v>
      </c>
      <c r="G993">
        <v>101</v>
      </c>
      <c r="H993" s="1">
        <v>0</v>
      </c>
      <c r="I993" s="1" t="s">
        <v>1102</v>
      </c>
      <c r="J993" t="s">
        <v>11</v>
      </c>
      <c r="K993" s="2">
        <v>484.8</v>
      </c>
      <c r="L993" s="1">
        <v>35484.800000000003</v>
      </c>
    </row>
    <row r="994" spans="1:12" x14ac:dyDescent="0.35">
      <c r="A994" t="s">
        <v>1017</v>
      </c>
      <c r="B994" t="s">
        <v>28</v>
      </c>
      <c r="C994" t="s">
        <v>19</v>
      </c>
      <c r="D994" t="s">
        <v>14</v>
      </c>
      <c r="E994" s="3">
        <v>1262283</v>
      </c>
      <c r="F994">
        <v>61844</v>
      </c>
      <c r="G994">
        <v>106</v>
      </c>
      <c r="H994" s="1">
        <v>0</v>
      </c>
      <c r="I994" s="1" t="s">
        <v>1102</v>
      </c>
      <c r="J994" t="s">
        <v>66</v>
      </c>
      <c r="K994" s="2">
        <v>508.8</v>
      </c>
      <c r="L994" s="1">
        <v>35508.800000000003</v>
      </c>
    </row>
    <row r="995" spans="1:12" x14ac:dyDescent="0.35">
      <c r="A995" t="s">
        <v>1018</v>
      </c>
      <c r="B995" t="s">
        <v>28</v>
      </c>
      <c r="C995" t="s">
        <v>19</v>
      </c>
      <c r="D995" t="s">
        <v>68</v>
      </c>
      <c r="E995" s="3">
        <v>2017196</v>
      </c>
      <c r="F995">
        <v>24804</v>
      </c>
      <c r="G995">
        <v>73</v>
      </c>
      <c r="H995" s="1">
        <v>0</v>
      </c>
      <c r="I995" s="1" t="s">
        <v>1102</v>
      </c>
      <c r="J995" t="s">
        <v>17</v>
      </c>
      <c r="K995" s="2">
        <v>350.4</v>
      </c>
      <c r="L995" s="1">
        <v>35350.400000000001</v>
      </c>
    </row>
    <row r="996" spans="1:12" x14ac:dyDescent="0.35">
      <c r="A996" t="s">
        <v>1019</v>
      </c>
      <c r="B996" t="s">
        <v>1</v>
      </c>
      <c r="C996" t="s">
        <v>13</v>
      </c>
      <c r="D996" t="s">
        <v>14</v>
      </c>
      <c r="E996" s="3">
        <v>1646437</v>
      </c>
      <c r="F996">
        <v>27760</v>
      </c>
      <c r="G996">
        <v>104</v>
      </c>
      <c r="H996" s="1">
        <v>0</v>
      </c>
      <c r="I996" s="1" t="s">
        <v>1102</v>
      </c>
      <c r="J996" t="s">
        <v>20</v>
      </c>
      <c r="K996" s="2">
        <v>302.76428299999998</v>
      </c>
      <c r="L996" s="1">
        <v>35302.764282997698</v>
      </c>
    </row>
    <row r="997" spans="1:12" x14ac:dyDescent="0.35">
      <c r="A997" t="s">
        <v>1020</v>
      </c>
      <c r="B997" t="s">
        <v>24</v>
      </c>
      <c r="C997" t="s">
        <v>13</v>
      </c>
      <c r="D997" t="s">
        <v>22</v>
      </c>
      <c r="E997" s="3">
        <v>559539</v>
      </c>
      <c r="F997">
        <v>74454</v>
      </c>
      <c r="G997">
        <v>71</v>
      </c>
      <c r="H997" s="1">
        <v>0</v>
      </c>
      <c r="I997" s="1" t="s">
        <v>1102</v>
      </c>
      <c r="J997" t="s">
        <v>11</v>
      </c>
      <c r="K997" s="2">
        <v>340.8</v>
      </c>
      <c r="L997" s="1">
        <v>35340.800000000003</v>
      </c>
    </row>
    <row r="998" spans="1:12" x14ac:dyDescent="0.35">
      <c r="A998" t="s">
        <v>1021</v>
      </c>
      <c r="B998" t="s">
        <v>24</v>
      </c>
      <c r="C998" t="s">
        <v>13</v>
      </c>
      <c r="D998" t="s">
        <v>10</v>
      </c>
      <c r="E998" s="3">
        <v>417069</v>
      </c>
      <c r="F998">
        <v>29462</v>
      </c>
      <c r="G998">
        <v>107</v>
      </c>
      <c r="H998" s="1">
        <v>36526</v>
      </c>
      <c r="I998" s="1" t="s">
        <v>1102</v>
      </c>
      <c r="J998" t="s">
        <v>20</v>
      </c>
      <c r="K998" s="2">
        <v>513.6</v>
      </c>
      <c r="L998" s="1">
        <v>35513.599999999999</v>
      </c>
    </row>
    <row r="999" spans="1:12" x14ac:dyDescent="0.35">
      <c r="A999" t="s">
        <v>1022</v>
      </c>
      <c r="B999" t="s">
        <v>28</v>
      </c>
      <c r="C999" t="s">
        <v>13</v>
      </c>
      <c r="D999" t="s">
        <v>26</v>
      </c>
      <c r="E999" s="3">
        <v>266545</v>
      </c>
      <c r="F999">
        <v>52266</v>
      </c>
      <c r="G999">
        <v>68</v>
      </c>
      <c r="H999" s="1">
        <v>0</v>
      </c>
      <c r="I999" s="1" t="s">
        <v>1105</v>
      </c>
      <c r="J999" t="s">
        <v>17</v>
      </c>
      <c r="K999" s="2">
        <v>141.92283900000001</v>
      </c>
      <c r="L999" s="1">
        <v>35141.922839004597</v>
      </c>
    </row>
    <row r="1000" spans="1:12" x14ac:dyDescent="0.35">
      <c r="A1000" t="s">
        <v>1023</v>
      </c>
      <c r="B1000" t="s">
        <v>24</v>
      </c>
      <c r="C1000" t="s">
        <v>19</v>
      </c>
      <c r="D1000" t="s">
        <v>14</v>
      </c>
      <c r="E1000" s="3">
        <v>709891</v>
      </c>
      <c r="F1000">
        <v>0</v>
      </c>
      <c r="G1000">
        <v>70</v>
      </c>
      <c r="H1000" s="1">
        <v>0</v>
      </c>
      <c r="I1000" s="1" t="s">
        <v>1102</v>
      </c>
      <c r="J1000" t="s">
        <v>17</v>
      </c>
      <c r="K1000" s="2">
        <v>349.78304600000001</v>
      </c>
      <c r="L1000" s="1">
        <v>35349.783045995398</v>
      </c>
    </row>
    <row r="1001" spans="1:12" x14ac:dyDescent="0.35">
      <c r="A1001" t="s">
        <v>1024</v>
      </c>
      <c r="B1001" t="s">
        <v>1</v>
      </c>
      <c r="C1001" t="s">
        <v>19</v>
      </c>
      <c r="D1001" t="s">
        <v>68</v>
      </c>
      <c r="E1001" s="3">
        <v>397135</v>
      </c>
      <c r="F1001">
        <v>23599</v>
      </c>
      <c r="G1001">
        <v>103</v>
      </c>
      <c r="H1001" s="1">
        <v>0</v>
      </c>
      <c r="I1001" s="1" t="s">
        <v>1105</v>
      </c>
      <c r="J1001" t="s">
        <v>20</v>
      </c>
      <c r="K1001" s="2">
        <v>494.4</v>
      </c>
      <c r="L1001" s="1">
        <v>35494.400000000001</v>
      </c>
    </row>
    <row r="1002" spans="1:12" x14ac:dyDescent="0.35">
      <c r="A1002" t="s">
        <v>1025</v>
      </c>
      <c r="B1002" t="s">
        <v>24</v>
      </c>
      <c r="C1002" t="s">
        <v>19</v>
      </c>
      <c r="D1002" t="s">
        <v>14</v>
      </c>
      <c r="E1002" s="3">
        <v>552821</v>
      </c>
      <c r="F1002">
        <v>36088</v>
      </c>
      <c r="G1002">
        <v>72</v>
      </c>
      <c r="H1002" s="1">
        <v>0</v>
      </c>
      <c r="I1002" s="1" t="s">
        <v>1102</v>
      </c>
      <c r="J1002" t="s">
        <v>11</v>
      </c>
      <c r="K1002" s="2">
        <v>345.6</v>
      </c>
      <c r="L1002" s="1">
        <v>35345.599999999999</v>
      </c>
    </row>
    <row r="1003" spans="1:12" x14ac:dyDescent="0.35">
      <c r="A1003" t="s">
        <v>1026</v>
      </c>
      <c r="B1003" t="s">
        <v>1</v>
      </c>
      <c r="C1003" t="s">
        <v>13</v>
      </c>
      <c r="D1003" t="s">
        <v>22</v>
      </c>
      <c r="E1003" s="3">
        <v>833900</v>
      </c>
      <c r="F1003">
        <v>70534</v>
      </c>
      <c r="G1003">
        <v>104</v>
      </c>
      <c r="H1003" s="1">
        <v>0</v>
      </c>
      <c r="I1003" s="1" t="s">
        <v>1102</v>
      </c>
      <c r="J1003" t="s">
        <v>11</v>
      </c>
      <c r="K1003" s="2">
        <v>54.065537999999997</v>
      </c>
      <c r="L1003" s="1">
        <v>35054.065537997703</v>
      </c>
    </row>
    <row r="1004" spans="1:12" x14ac:dyDescent="0.35">
      <c r="A1004" t="s">
        <v>1027</v>
      </c>
      <c r="B1004" t="s">
        <v>24</v>
      </c>
      <c r="C1004" t="s">
        <v>19</v>
      </c>
      <c r="D1004" t="s">
        <v>26</v>
      </c>
      <c r="E1004" s="3">
        <v>3844586</v>
      </c>
      <c r="F1004">
        <v>27398</v>
      </c>
      <c r="G1004">
        <v>125</v>
      </c>
      <c r="H1004" s="1">
        <v>36526</v>
      </c>
      <c r="I1004" s="1" t="s">
        <v>1102</v>
      </c>
      <c r="J1004" t="s">
        <v>20</v>
      </c>
      <c r="K1004" s="2">
        <v>600</v>
      </c>
      <c r="L1004" s="1">
        <v>35600</v>
      </c>
    </row>
    <row r="1005" spans="1:12" x14ac:dyDescent="0.35">
      <c r="A1005" t="s">
        <v>1028</v>
      </c>
      <c r="B1005" t="s">
        <v>16</v>
      </c>
      <c r="C1005" t="s">
        <v>19</v>
      </c>
      <c r="D1005" t="s">
        <v>14</v>
      </c>
      <c r="E1005" s="3">
        <v>544856</v>
      </c>
      <c r="F1005">
        <v>85296</v>
      </c>
      <c r="G1005">
        <v>68</v>
      </c>
      <c r="H1005" s="1">
        <v>0</v>
      </c>
      <c r="I1005" s="1" t="s">
        <v>1102</v>
      </c>
      <c r="J1005" t="s">
        <v>11</v>
      </c>
      <c r="K1005" s="2">
        <v>342.51513599999998</v>
      </c>
      <c r="L1005" s="1">
        <v>35342.515135995403</v>
      </c>
    </row>
    <row r="1006" spans="1:12" x14ac:dyDescent="0.35">
      <c r="A1006" t="s">
        <v>1029</v>
      </c>
      <c r="B1006" t="s">
        <v>28</v>
      </c>
      <c r="C1006" t="s">
        <v>19</v>
      </c>
      <c r="D1006" t="s">
        <v>22</v>
      </c>
      <c r="E1006" s="3">
        <v>1080807</v>
      </c>
      <c r="F1006">
        <v>31063</v>
      </c>
      <c r="G1006">
        <v>92</v>
      </c>
      <c r="H1006" s="1">
        <v>0</v>
      </c>
      <c r="I1006" s="1" t="s">
        <v>1102</v>
      </c>
      <c r="J1006" t="s">
        <v>11</v>
      </c>
      <c r="K1006" s="2">
        <v>441.6</v>
      </c>
      <c r="L1006" s="1">
        <v>35441.599999999999</v>
      </c>
    </row>
    <row r="1007" spans="1:12" x14ac:dyDescent="0.35">
      <c r="A1007" t="s">
        <v>1030</v>
      </c>
      <c r="B1007" t="s">
        <v>1</v>
      </c>
      <c r="C1007" t="s">
        <v>19</v>
      </c>
      <c r="D1007" t="s">
        <v>14</v>
      </c>
      <c r="E1007" s="3">
        <v>618510</v>
      </c>
      <c r="F1007">
        <v>0</v>
      </c>
      <c r="G1007">
        <v>92</v>
      </c>
      <c r="H1007" s="1">
        <v>0</v>
      </c>
      <c r="I1007" s="1" t="s">
        <v>1102</v>
      </c>
      <c r="J1007" t="s">
        <v>17</v>
      </c>
      <c r="K1007" s="2">
        <v>1027.1772550000001</v>
      </c>
      <c r="L1007" s="1">
        <v>36027.177255000002</v>
      </c>
    </row>
    <row r="1008" spans="1:12" x14ac:dyDescent="0.35">
      <c r="A1008" t="s">
        <v>1031</v>
      </c>
      <c r="B1008" t="s">
        <v>16</v>
      </c>
      <c r="C1008" t="s">
        <v>19</v>
      </c>
      <c r="D1008" t="s">
        <v>22</v>
      </c>
      <c r="E1008" s="3">
        <v>320823</v>
      </c>
      <c r="F1008">
        <v>52367</v>
      </c>
      <c r="G1008">
        <v>81</v>
      </c>
      <c r="H1008" s="1">
        <v>0</v>
      </c>
      <c r="I1008" s="1" t="s">
        <v>1102</v>
      </c>
      <c r="J1008" t="s">
        <v>11</v>
      </c>
      <c r="K1008" s="2">
        <v>275.98997800000001</v>
      </c>
      <c r="L1008" s="1">
        <v>35275.989977997699</v>
      </c>
    </row>
    <row r="1009" spans="1:12" x14ac:dyDescent="0.35">
      <c r="A1009" t="s">
        <v>1032</v>
      </c>
      <c r="B1009" t="s">
        <v>28</v>
      </c>
      <c r="C1009" t="s">
        <v>19</v>
      </c>
      <c r="D1009" t="s">
        <v>26</v>
      </c>
      <c r="E1009" s="3">
        <v>548010</v>
      </c>
      <c r="F1009">
        <v>58651</v>
      </c>
      <c r="G1009">
        <v>71</v>
      </c>
      <c r="H1009" s="1">
        <v>0</v>
      </c>
      <c r="I1009" s="1" t="s">
        <v>1102</v>
      </c>
      <c r="J1009" t="s">
        <v>11</v>
      </c>
      <c r="K1009" s="2">
        <v>472.59968300000003</v>
      </c>
      <c r="L1009" s="1">
        <v>35472.599682997701</v>
      </c>
    </row>
    <row r="1010" spans="1:12" x14ac:dyDescent="0.35">
      <c r="A1010" t="s">
        <v>1033</v>
      </c>
      <c r="B1010" t="s">
        <v>16</v>
      </c>
      <c r="C1010" t="s">
        <v>13</v>
      </c>
      <c r="D1010" t="s">
        <v>26</v>
      </c>
      <c r="E1010" s="3">
        <v>2298615</v>
      </c>
      <c r="F1010">
        <v>84831</v>
      </c>
      <c r="G1010">
        <v>192</v>
      </c>
      <c r="H1010" s="1">
        <v>0</v>
      </c>
      <c r="I1010" s="1" t="s">
        <v>1112</v>
      </c>
      <c r="J1010" t="s">
        <v>66</v>
      </c>
      <c r="K1010" s="2">
        <v>1336.9317160000001</v>
      </c>
      <c r="L1010" s="1">
        <v>36336.931715995401</v>
      </c>
    </row>
    <row r="1011" spans="1:12" x14ac:dyDescent="0.35">
      <c r="A1011" t="s">
        <v>1034</v>
      </c>
      <c r="B1011" t="s">
        <v>24</v>
      </c>
      <c r="C1011" t="s">
        <v>19</v>
      </c>
      <c r="D1011" t="s">
        <v>14</v>
      </c>
      <c r="E1011" s="3">
        <v>1310793</v>
      </c>
      <c r="F1011">
        <v>49088</v>
      </c>
      <c r="G1011">
        <v>114</v>
      </c>
      <c r="H1011" s="1">
        <v>36526</v>
      </c>
      <c r="I1011" s="1" t="s">
        <v>1105</v>
      </c>
      <c r="J1011" t="s">
        <v>20</v>
      </c>
      <c r="K1011" s="2">
        <v>547.20000000000005</v>
      </c>
      <c r="L1011" s="1">
        <v>35547.199999999997</v>
      </c>
    </row>
    <row r="1012" spans="1:12" x14ac:dyDescent="0.35">
      <c r="A1012" t="s">
        <v>1035</v>
      </c>
      <c r="B1012" t="s">
        <v>1</v>
      </c>
      <c r="C1012" t="s">
        <v>13</v>
      </c>
      <c r="D1012" t="s">
        <v>26</v>
      </c>
      <c r="E1012" s="3">
        <v>746293</v>
      </c>
      <c r="F1012">
        <v>70263</v>
      </c>
      <c r="G1012">
        <v>93</v>
      </c>
      <c r="H1012" s="1">
        <v>0</v>
      </c>
      <c r="I1012" s="1" t="s">
        <v>1105</v>
      </c>
      <c r="J1012" t="s">
        <v>17</v>
      </c>
      <c r="K1012" s="2">
        <v>7.3459459999999996</v>
      </c>
      <c r="L1012" s="1">
        <v>35007.345945995403</v>
      </c>
    </row>
    <row r="1013" spans="1:12" x14ac:dyDescent="0.35">
      <c r="A1013" t="s">
        <v>1036</v>
      </c>
      <c r="B1013" t="s">
        <v>24</v>
      </c>
      <c r="C1013" t="s">
        <v>13</v>
      </c>
      <c r="D1013" t="s">
        <v>68</v>
      </c>
      <c r="E1013" s="3">
        <v>1146399</v>
      </c>
      <c r="F1013">
        <v>45354</v>
      </c>
      <c r="G1013">
        <v>285</v>
      </c>
      <c r="H1013" s="1">
        <v>0</v>
      </c>
      <c r="I1013" s="1" t="s">
        <v>1102</v>
      </c>
      <c r="J1013" t="s">
        <v>53</v>
      </c>
      <c r="K1013" s="2">
        <v>540.14156600000001</v>
      </c>
      <c r="L1013" s="1">
        <v>35540.1415659954</v>
      </c>
    </row>
    <row r="1014" spans="1:12" x14ac:dyDescent="0.35">
      <c r="A1014" t="s">
        <v>1037</v>
      </c>
      <c r="B1014" t="s">
        <v>28</v>
      </c>
      <c r="C1014" t="s">
        <v>19</v>
      </c>
      <c r="D1014" t="s">
        <v>22</v>
      </c>
      <c r="E1014" s="3">
        <v>723613</v>
      </c>
      <c r="F1014">
        <v>0</v>
      </c>
      <c r="G1014">
        <v>63</v>
      </c>
      <c r="H1014" s="1">
        <v>0</v>
      </c>
      <c r="I1014" s="1" t="s">
        <v>1102</v>
      </c>
      <c r="J1014" t="s">
        <v>11</v>
      </c>
      <c r="K1014" s="2">
        <v>383.36375800000002</v>
      </c>
      <c r="L1014" s="1">
        <v>35383.3637579977</v>
      </c>
    </row>
    <row r="1015" spans="1:12" x14ac:dyDescent="0.35">
      <c r="A1015" t="s">
        <v>1038</v>
      </c>
      <c r="B1015" t="s">
        <v>1</v>
      </c>
      <c r="C1015" t="s">
        <v>13</v>
      </c>
      <c r="D1015" t="s">
        <v>14</v>
      </c>
      <c r="E1015" s="3">
        <v>623269</v>
      </c>
      <c r="F1015">
        <v>28334</v>
      </c>
      <c r="G1015">
        <v>83</v>
      </c>
      <c r="H1015" s="1">
        <v>0</v>
      </c>
      <c r="I1015" s="1" t="s">
        <v>1112</v>
      </c>
      <c r="J1015" t="s">
        <v>11</v>
      </c>
      <c r="K1015" s="2">
        <v>537.76515099999995</v>
      </c>
      <c r="L1015" s="1">
        <v>35537.765150995401</v>
      </c>
    </row>
    <row r="1016" spans="1:12" x14ac:dyDescent="0.35">
      <c r="A1016" t="s">
        <v>1039</v>
      </c>
      <c r="B1016" t="s">
        <v>24</v>
      </c>
      <c r="C1016" t="s">
        <v>13</v>
      </c>
      <c r="D1016" t="s">
        <v>14</v>
      </c>
      <c r="E1016" s="3">
        <v>2839333</v>
      </c>
      <c r="F1016">
        <v>38772</v>
      </c>
      <c r="G1016">
        <v>90</v>
      </c>
      <c r="H1016" s="1">
        <v>0</v>
      </c>
      <c r="I1016" s="1" t="s">
        <v>1102</v>
      </c>
      <c r="J1016" t="s">
        <v>11</v>
      </c>
      <c r="K1016" s="2">
        <v>321.87347399999999</v>
      </c>
      <c r="L1016" s="1">
        <v>35321.873474004598</v>
      </c>
    </row>
    <row r="1017" spans="1:12" x14ac:dyDescent="0.35">
      <c r="A1017" t="s">
        <v>1040</v>
      </c>
      <c r="B1017" t="s">
        <v>24</v>
      </c>
      <c r="C1017" t="s">
        <v>13</v>
      </c>
      <c r="D1017" t="s">
        <v>26</v>
      </c>
      <c r="E1017" s="3">
        <v>374675</v>
      </c>
      <c r="F1017">
        <v>41479</v>
      </c>
      <c r="G1017">
        <v>94</v>
      </c>
      <c r="H1017" s="1">
        <v>36526</v>
      </c>
      <c r="I1017" s="1" t="s">
        <v>1102</v>
      </c>
      <c r="J1017" t="s">
        <v>17</v>
      </c>
      <c r="K1017" s="2">
        <v>19.575683000000001</v>
      </c>
      <c r="L1017" s="1">
        <v>35019.575682997704</v>
      </c>
    </row>
    <row r="1018" spans="1:12" x14ac:dyDescent="0.35">
      <c r="A1018" t="s">
        <v>1041</v>
      </c>
      <c r="B1018" t="s">
        <v>1</v>
      </c>
      <c r="C1018" t="s">
        <v>19</v>
      </c>
      <c r="D1018" t="s">
        <v>14</v>
      </c>
      <c r="E1018" s="3">
        <v>2156934</v>
      </c>
      <c r="F1018">
        <v>23909</v>
      </c>
      <c r="G1018">
        <v>119</v>
      </c>
      <c r="H1018" s="1">
        <v>0</v>
      </c>
      <c r="I1018" s="1" t="s">
        <v>1102</v>
      </c>
      <c r="J1018" t="s">
        <v>20</v>
      </c>
      <c r="K1018" s="2">
        <v>571.20000000000005</v>
      </c>
      <c r="L1018" s="1">
        <v>35571.199999999997</v>
      </c>
    </row>
    <row r="1019" spans="1:12" x14ac:dyDescent="0.35">
      <c r="A1019" t="s">
        <v>1042</v>
      </c>
      <c r="B1019" t="s">
        <v>1</v>
      </c>
      <c r="C1019" t="s">
        <v>19</v>
      </c>
      <c r="D1019" t="s">
        <v>26</v>
      </c>
      <c r="E1019" s="3">
        <v>501208</v>
      </c>
      <c r="F1019">
        <v>48328</v>
      </c>
      <c r="G1019">
        <v>63</v>
      </c>
      <c r="H1019" s="1">
        <v>0</v>
      </c>
      <c r="I1019" s="1" t="s">
        <v>1102</v>
      </c>
      <c r="J1019" t="s">
        <v>17</v>
      </c>
      <c r="K1019" s="2">
        <v>108.138715</v>
      </c>
      <c r="L1019" s="1">
        <v>35108.138715000001</v>
      </c>
    </row>
    <row r="1020" spans="1:12" x14ac:dyDescent="0.35">
      <c r="A1020" t="s">
        <v>1043</v>
      </c>
      <c r="B1020" t="s">
        <v>1</v>
      </c>
      <c r="C1020" t="s">
        <v>19</v>
      </c>
      <c r="D1020" t="s">
        <v>22</v>
      </c>
      <c r="E1020" s="3">
        <v>337186</v>
      </c>
      <c r="F1020">
        <v>86689</v>
      </c>
      <c r="G1020">
        <v>85</v>
      </c>
      <c r="H1020" s="1">
        <v>0</v>
      </c>
      <c r="I1020" s="1" t="s">
        <v>1105</v>
      </c>
      <c r="J1020" t="s">
        <v>17</v>
      </c>
      <c r="K1020" s="2">
        <v>408</v>
      </c>
      <c r="L1020" s="1">
        <v>35408</v>
      </c>
    </row>
    <row r="1021" spans="1:12" x14ac:dyDescent="0.35">
      <c r="A1021" t="s">
        <v>1044</v>
      </c>
      <c r="B1021" t="s">
        <v>1</v>
      </c>
      <c r="C1021" t="s">
        <v>19</v>
      </c>
      <c r="D1021" t="s">
        <v>14</v>
      </c>
      <c r="E1021" s="3">
        <v>386478</v>
      </c>
      <c r="F1021">
        <v>24204</v>
      </c>
      <c r="G1021">
        <v>99</v>
      </c>
      <c r="H1021" s="1">
        <v>36526</v>
      </c>
      <c r="I1021" s="1" t="s">
        <v>1102</v>
      </c>
      <c r="J1021" t="s">
        <v>11</v>
      </c>
      <c r="K1021" s="2">
        <v>707.30341599999997</v>
      </c>
      <c r="L1021" s="1">
        <v>35707.303415995397</v>
      </c>
    </row>
    <row r="1022" spans="1:12" x14ac:dyDescent="0.35">
      <c r="A1022" t="s">
        <v>1045</v>
      </c>
      <c r="B1022" t="s">
        <v>24</v>
      </c>
      <c r="C1022" t="s">
        <v>19</v>
      </c>
      <c r="D1022" t="s">
        <v>26</v>
      </c>
      <c r="E1022" s="3">
        <v>414571</v>
      </c>
      <c r="F1022">
        <v>25943</v>
      </c>
      <c r="G1022">
        <v>110</v>
      </c>
      <c r="H1022" s="1">
        <v>0</v>
      </c>
      <c r="I1022" s="1" t="s">
        <v>1105</v>
      </c>
      <c r="J1022" t="s">
        <v>17</v>
      </c>
      <c r="K1022" s="2">
        <v>1067.333126</v>
      </c>
      <c r="L1022" s="1">
        <v>36067.333125995399</v>
      </c>
    </row>
    <row r="1023" spans="1:12" x14ac:dyDescent="0.35">
      <c r="A1023" t="s">
        <v>1046</v>
      </c>
      <c r="B1023" t="s">
        <v>1</v>
      </c>
      <c r="C1023" t="s">
        <v>19</v>
      </c>
      <c r="D1023" t="s">
        <v>22</v>
      </c>
      <c r="E1023" s="3">
        <v>515607</v>
      </c>
      <c r="F1023">
        <v>0</v>
      </c>
      <c r="G1023">
        <v>73</v>
      </c>
      <c r="H1023" s="1">
        <v>0</v>
      </c>
      <c r="I1023" s="1" t="s">
        <v>1102</v>
      </c>
      <c r="J1023" t="s">
        <v>11</v>
      </c>
      <c r="K1023" s="2">
        <v>807.94729199999995</v>
      </c>
      <c r="L1023" s="1">
        <v>35807.947292002304</v>
      </c>
    </row>
    <row r="1024" spans="1:12" x14ac:dyDescent="0.35">
      <c r="A1024" t="s">
        <v>1047</v>
      </c>
      <c r="B1024" t="s">
        <v>1</v>
      </c>
      <c r="C1024" t="s">
        <v>19</v>
      </c>
      <c r="D1024" t="s">
        <v>26</v>
      </c>
      <c r="E1024" s="3">
        <v>366738</v>
      </c>
      <c r="F1024">
        <v>62375</v>
      </c>
      <c r="G1024">
        <v>92</v>
      </c>
      <c r="H1024" s="1">
        <v>0</v>
      </c>
      <c r="I1024" s="1" t="s">
        <v>1102</v>
      </c>
      <c r="J1024" t="s">
        <v>17</v>
      </c>
      <c r="K1024" s="2">
        <v>618.63095499999997</v>
      </c>
      <c r="L1024" s="1">
        <v>35618.630955000001</v>
      </c>
    </row>
    <row r="1025" spans="1:12" x14ac:dyDescent="0.35">
      <c r="A1025" t="s">
        <v>1048</v>
      </c>
      <c r="B1025" t="s">
        <v>1</v>
      </c>
      <c r="C1025" t="s">
        <v>13</v>
      </c>
      <c r="D1025" t="s">
        <v>22</v>
      </c>
      <c r="E1025" s="3">
        <v>783568</v>
      </c>
      <c r="F1025">
        <v>0</v>
      </c>
      <c r="G1025">
        <v>71</v>
      </c>
      <c r="H1025" s="1">
        <v>0</v>
      </c>
      <c r="I1025" s="1" t="s">
        <v>1105</v>
      </c>
      <c r="J1025" t="s">
        <v>11</v>
      </c>
      <c r="K1025" s="2">
        <v>404.272806</v>
      </c>
      <c r="L1025" s="1">
        <v>35404.272805995402</v>
      </c>
    </row>
    <row r="1026" spans="1:12" x14ac:dyDescent="0.35">
      <c r="A1026" t="s">
        <v>1049</v>
      </c>
      <c r="B1026" t="s">
        <v>28</v>
      </c>
      <c r="C1026" t="s">
        <v>19</v>
      </c>
      <c r="D1026" t="s">
        <v>14</v>
      </c>
      <c r="E1026" s="3">
        <v>1456727</v>
      </c>
      <c r="F1026">
        <v>0</v>
      </c>
      <c r="G1026">
        <v>148</v>
      </c>
      <c r="H1026" s="1">
        <v>0</v>
      </c>
      <c r="I1026" s="1" t="s">
        <v>1102</v>
      </c>
      <c r="J1026" t="s">
        <v>20</v>
      </c>
      <c r="K1026" s="2">
        <v>710.4</v>
      </c>
      <c r="L1026" s="1">
        <v>35710.400000000001</v>
      </c>
    </row>
    <row r="1027" spans="1:12" x14ac:dyDescent="0.35">
      <c r="A1027" t="s">
        <v>1050</v>
      </c>
      <c r="B1027" t="s">
        <v>24</v>
      </c>
      <c r="C1027" t="s">
        <v>19</v>
      </c>
      <c r="D1027" t="s">
        <v>14</v>
      </c>
      <c r="E1027" s="3">
        <v>1017134</v>
      </c>
      <c r="F1027">
        <v>70200</v>
      </c>
      <c r="G1027">
        <v>65</v>
      </c>
      <c r="H1027" s="1">
        <v>0</v>
      </c>
      <c r="I1027" s="1" t="s">
        <v>1105</v>
      </c>
      <c r="J1027" t="s">
        <v>11</v>
      </c>
      <c r="K1027" s="2">
        <v>312</v>
      </c>
      <c r="L1027" s="1">
        <v>35312</v>
      </c>
    </row>
    <row r="1028" spans="1:12" x14ac:dyDescent="0.35">
      <c r="A1028" t="s">
        <v>1051</v>
      </c>
      <c r="B1028" t="s">
        <v>16</v>
      </c>
      <c r="C1028" t="s">
        <v>13</v>
      </c>
      <c r="D1028" t="s">
        <v>14</v>
      </c>
      <c r="E1028" s="3">
        <v>413578</v>
      </c>
      <c r="F1028">
        <v>0</v>
      </c>
      <c r="G1028">
        <v>112</v>
      </c>
      <c r="H1028" s="1">
        <v>0</v>
      </c>
      <c r="I1028" s="1" t="s">
        <v>1112</v>
      </c>
      <c r="J1028" t="s">
        <v>11</v>
      </c>
      <c r="K1028" s="2">
        <v>707.97761400000002</v>
      </c>
      <c r="L1028" s="1">
        <v>35707.977614004601</v>
      </c>
    </row>
    <row r="1029" spans="1:12" x14ac:dyDescent="0.35">
      <c r="A1029" t="s">
        <v>1052</v>
      </c>
      <c r="B1029" t="s">
        <v>24</v>
      </c>
      <c r="C1029" t="s">
        <v>13</v>
      </c>
      <c r="D1029" t="s">
        <v>26</v>
      </c>
      <c r="E1029" s="3">
        <v>551149</v>
      </c>
      <c r="F1029">
        <v>79027</v>
      </c>
      <c r="G1029">
        <v>70</v>
      </c>
      <c r="H1029" s="1">
        <v>0</v>
      </c>
      <c r="I1029" s="1" t="s">
        <v>1105</v>
      </c>
      <c r="J1029" t="s">
        <v>11</v>
      </c>
      <c r="K1029" s="2">
        <v>336</v>
      </c>
      <c r="L1029" s="1">
        <v>35336</v>
      </c>
    </row>
    <row r="1030" spans="1:12" x14ac:dyDescent="0.35">
      <c r="A1030" t="s">
        <v>1053</v>
      </c>
      <c r="B1030" t="s">
        <v>8</v>
      </c>
      <c r="C1030" t="s">
        <v>13</v>
      </c>
      <c r="D1030" t="s">
        <v>22</v>
      </c>
      <c r="E1030" s="3">
        <v>1131424</v>
      </c>
      <c r="F1030">
        <v>62935</v>
      </c>
      <c r="G1030">
        <v>141</v>
      </c>
      <c r="H1030" s="1">
        <v>0</v>
      </c>
      <c r="I1030" s="1" t="s">
        <v>1102</v>
      </c>
      <c r="J1030" t="s">
        <v>66</v>
      </c>
      <c r="K1030" s="2">
        <v>232.24232599999999</v>
      </c>
      <c r="L1030" s="1">
        <v>35232.242325995401</v>
      </c>
    </row>
    <row r="1031" spans="1:12" x14ac:dyDescent="0.35">
      <c r="A1031" t="s">
        <v>1054</v>
      </c>
      <c r="B1031" t="s">
        <v>1</v>
      </c>
      <c r="C1031" t="s">
        <v>13</v>
      </c>
      <c r="D1031" t="s">
        <v>22</v>
      </c>
      <c r="E1031" s="3">
        <v>541462</v>
      </c>
      <c r="F1031">
        <v>26893</v>
      </c>
      <c r="G1031">
        <v>68</v>
      </c>
      <c r="H1031" s="1">
        <v>0</v>
      </c>
      <c r="I1031" s="1" t="s">
        <v>1102</v>
      </c>
      <c r="J1031" t="s">
        <v>11</v>
      </c>
      <c r="K1031" s="2">
        <v>68.226000999999997</v>
      </c>
      <c r="L1031" s="1">
        <v>35068.226000995397</v>
      </c>
    </row>
    <row r="1032" spans="1:12" x14ac:dyDescent="0.35">
      <c r="A1032" t="s">
        <v>1055</v>
      </c>
      <c r="B1032" t="s">
        <v>24</v>
      </c>
      <c r="C1032" t="s">
        <v>13</v>
      </c>
      <c r="D1032" t="s">
        <v>22</v>
      </c>
      <c r="E1032" s="3">
        <v>742159</v>
      </c>
      <c r="F1032">
        <v>47406</v>
      </c>
      <c r="G1032">
        <v>94</v>
      </c>
      <c r="H1032" s="1">
        <v>36526</v>
      </c>
      <c r="I1032" s="1" t="s">
        <v>1102</v>
      </c>
      <c r="J1032" t="s">
        <v>11</v>
      </c>
      <c r="K1032" s="2">
        <v>287.14980700000001</v>
      </c>
      <c r="L1032" s="1">
        <v>35287.149807002301</v>
      </c>
    </row>
    <row r="1033" spans="1:12" x14ac:dyDescent="0.35">
      <c r="A1033" t="s">
        <v>1056</v>
      </c>
      <c r="B1033" t="s">
        <v>1</v>
      </c>
      <c r="C1033" t="s">
        <v>19</v>
      </c>
      <c r="D1033" t="s">
        <v>14</v>
      </c>
      <c r="E1033" s="3">
        <v>445811</v>
      </c>
      <c r="F1033">
        <v>17622</v>
      </c>
      <c r="G1033">
        <v>65</v>
      </c>
      <c r="H1033" s="1">
        <v>36526</v>
      </c>
      <c r="I1033" s="1" t="s">
        <v>1102</v>
      </c>
      <c r="J1033" t="s">
        <v>11</v>
      </c>
      <c r="K1033" s="2">
        <v>312</v>
      </c>
      <c r="L1033" s="1">
        <v>35312</v>
      </c>
    </row>
    <row r="1034" spans="1:12" x14ac:dyDescent="0.35">
      <c r="A1034" t="s">
        <v>1057</v>
      </c>
      <c r="B1034" t="s">
        <v>24</v>
      </c>
      <c r="C1034" t="s">
        <v>13</v>
      </c>
      <c r="D1034" t="s">
        <v>26</v>
      </c>
      <c r="E1034" s="3">
        <v>1447612</v>
      </c>
      <c r="F1034">
        <v>27572</v>
      </c>
      <c r="G1034">
        <v>124</v>
      </c>
      <c r="H1034" s="1">
        <v>0</v>
      </c>
      <c r="I1034" s="1" t="s">
        <v>1105</v>
      </c>
      <c r="J1034" t="s">
        <v>20</v>
      </c>
      <c r="K1034" s="2">
        <v>595.20000000000005</v>
      </c>
      <c r="L1034" s="1">
        <v>35595.199999999997</v>
      </c>
    </row>
    <row r="1035" spans="1:12" x14ac:dyDescent="0.35">
      <c r="A1035" t="s">
        <v>1058</v>
      </c>
      <c r="B1035" t="s">
        <v>24</v>
      </c>
      <c r="C1035" t="s">
        <v>13</v>
      </c>
      <c r="D1035" t="s">
        <v>26</v>
      </c>
      <c r="E1035" s="3">
        <v>493689</v>
      </c>
      <c r="F1035">
        <v>0</v>
      </c>
      <c r="G1035">
        <v>72</v>
      </c>
      <c r="H1035" s="1">
        <v>36557</v>
      </c>
      <c r="I1035" s="1" t="s">
        <v>1102</v>
      </c>
      <c r="J1035" t="s">
        <v>17</v>
      </c>
      <c r="K1035" s="2">
        <v>391.63662799999997</v>
      </c>
      <c r="L1035" s="1">
        <v>35391.636627997701</v>
      </c>
    </row>
    <row r="1036" spans="1:12" x14ac:dyDescent="0.35">
      <c r="A1036" t="s">
        <v>1059</v>
      </c>
      <c r="B1036" t="s">
        <v>24</v>
      </c>
      <c r="C1036" t="s">
        <v>13</v>
      </c>
      <c r="D1036" t="s">
        <v>14</v>
      </c>
      <c r="E1036" s="3">
        <v>452528</v>
      </c>
      <c r="F1036">
        <v>32802</v>
      </c>
      <c r="G1036">
        <v>114</v>
      </c>
      <c r="H1036" s="1">
        <v>0</v>
      </c>
      <c r="I1036" s="1" t="s">
        <v>1102</v>
      </c>
      <c r="J1036" t="s">
        <v>20</v>
      </c>
      <c r="K1036" s="2">
        <v>547.20000000000005</v>
      </c>
      <c r="L1036" s="1">
        <v>35547.199999999997</v>
      </c>
    </row>
    <row r="1037" spans="1:12" x14ac:dyDescent="0.35">
      <c r="A1037" t="s">
        <v>1060</v>
      </c>
      <c r="B1037" t="s">
        <v>8</v>
      </c>
      <c r="C1037" t="s">
        <v>13</v>
      </c>
      <c r="D1037" t="s">
        <v>10</v>
      </c>
      <c r="E1037" s="3">
        <v>558176</v>
      </c>
      <c r="F1037">
        <v>62739</v>
      </c>
      <c r="G1037">
        <v>70</v>
      </c>
      <c r="H1037" s="1">
        <v>0</v>
      </c>
      <c r="I1037" s="1" t="s">
        <v>1102</v>
      </c>
      <c r="J1037" t="s">
        <v>17</v>
      </c>
      <c r="K1037" s="2">
        <v>239.32857100000001</v>
      </c>
      <c r="L1037" s="1">
        <v>35239.3285709954</v>
      </c>
    </row>
    <row r="1038" spans="1:12" x14ac:dyDescent="0.35">
      <c r="A1038" t="s">
        <v>1061</v>
      </c>
      <c r="B1038" t="s">
        <v>1</v>
      </c>
      <c r="C1038" t="s">
        <v>13</v>
      </c>
      <c r="D1038" t="s">
        <v>14</v>
      </c>
      <c r="E1038" s="3">
        <v>1413435</v>
      </c>
      <c r="F1038">
        <v>90844</v>
      </c>
      <c r="G1038">
        <v>118</v>
      </c>
      <c r="H1038" s="1">
        <v>0</v>
      </c>
      <c r="I1038" s="1" t="s">
        <v>1102</v>
      </c>
      <c r="J1038" t="s">
        <v>20</v>
      </c>
      <c r="K1038" s="2">
        <v>232.67441700000001</v>
      </c>
      <c r="L1038" s="1">
        <v>35232.674417002301</v>
      </c>
    </row>
    <row r="1039" spans="1:12" x14ac:dyDescent="0.35">
      <c r="A1039" t="s">
        <v>1062</v>
      </c>
      <c r="B1039" t="s">
        <v>16</v>
      </c>
      <c r="C1039" t="s">
        <v>13</v>
      </c>
      <c r="D1039" t="s">
        <v>22</v>
      </c>
      <c r="E1039" s="3">
        <v>2472318</v>
      </c>
      <c r="F1039">
        <v>44685</v>
      </c>
      <c r="G1039">
        <v>69</v>
      </c>
      <c r="H1039" s="1">
        <v>0</v>
      </c>
      <c r="I1039" s="1" t="s">
        <v>1102</v>
      </c>
      <c r="J1039" t="s">
        <v>11</v>
      </c>
      <c r="K1039" s="2">
        <v>331.2</v>
      </c>
      <c r="L1039" s="1">
        <v>35331.199999999997</v>
      </c>
    </row>
    <row r="1040" spans="1:12" x14ac:dyDescent="0.35">
      <c r="A1040" t="s">
        <v>1063</v>
      </c>
      <c r="B1040" t="s">
        <v>1</v>
      </c>
      <c r="C1040" t="s">
        <v>13</v>
      </c>
      <c r="D1040" t="s">
        <v>14</v>
      </c>
      <c r="E1040" s="3">
        <v>283807</v>
      </c>
      <c r="F1040">
        <v>0</v>
      </c>
      <c r="G1040">
        <v>80</v>
      </c>
      <c r="H1040" s="1">
        <v>0</v>
      </c>
      <c r="I1040" s="1" t="s">
        <v>1102</v>
      </c>
      <c r="J1040" t="s">
        <v>11</v>
      </c>
      <c r="K1040" s="2">
        <v>336.50961000000001</v>
      </c>
      <c r="L1040" s="1">
        <v>35336.509610000001</v>
      </c>
    </row>
    <row r="1041" spans="1:12" x14ac:dyDescent="0.35">
      <c r="A1041" t="s">
        <v>1064</v>
      </c>
      <c r="B1041" t="s">
        <v>1</v>
      </c>
      <c r="C1041" t="s">
        <v>13</v>
      </c>
      <c r="D1041" t="s">
        <v>22</v>
      </c>
      <c r="E1041" s="3">
        <v>384848</v>
      </c>
      <c r="F1041">
        <v>42589</v>
      </c>
      <c r="G1041">
        <v>98</v>
      </c>
      <c r="H1041" s="1">
        <v>0</v>
      </c>
      <c r="I1041" s="1" t="s">
        <v>1105</v>
      </c>
      <c r="J1041" t="s">
        <v>11</v>
      </c>
      <c r="K1041" s="2">
        <v>470.4</v>
      </c>
      <c r="L1041" s="1">
        <v>35470.400000000001</v>
      </c>
    </row>
    <row r="1042" spans="1:12" x14ac:dyDescent="0.35">
      <c r="A1042" t="s">
        <v>1065</v>
      </c>
      <c r="B1042" t="s">
        <v>24</v>
      </c>
      <c r="C1042" t="s">
        <v>19</v>
      </c>
      <c r="D1042" t="s">
        <v>14</v>
      </c>
      <c r="E1042" s="3">
        <v>1950447</v>
      </c>
      <c r="F1042">
        <v>0</v>
      </c>
      <c r="G1042">
        <v>72</v>
      </c>
      <c r="H1042" s="1">
        <v>0</v>
      </c>
      <c r="I1042" s="1" t="s">
        <v>1102</v>
      </c>
      <c r="J1042" t="s">
        <v>11</v>
      </c>
      <c r="K1042" s="2">
        <v>345.6</v>
      </c>
      <c r="L1042" s="1">
        <v>35345.599999999999</v>
      </c>
    </row>
    <row r="1043" spans="1:12" x14ac:dyDescent="0.35">
      <c r="A1043" t="s">
        <v>1066</v>
      </c>
      <c r="B1043" t="s">
        <v>8</v>
      </c>
      <c r="C1043" t="s">
        <v>13</v>
      </c>
      <c r="D1043" t="s">
        <v>14</v>
      </c>
      <c r="E1043" s="3">
        <v>248005</v>
      </c>
      <c r="F1043">
        <v>93383</v>
      </c>
      <c r="G1043">
        <v>62</v>
      </c>
      <c r="H1043" s="1">
        <v>0</v>
      </c>
      <c r="I1043" s="1" t="s">
        <v>1105</v>
      </c>
      <c r="J1043" t="s">
        <v>17</v>
      </c>
      <c r="K1043" s="2">
        <v>244.21228600000001</v>
      </c>
      <c r="L1043" s="1">
        <v>35244.212285995403</v>
      </c>
    </row>
    <row r="1044" spans="1:12" x14ac:dyDescent="0.35">
      <c r="A1044" t="s">
        <v>1067</v>
      </c>
      <c r="B1044" t="s">
        <v>28</v>
      </c>
      <c r="C1044" t="s">
        <v>13</v>
      </c>
      <c r="D1044" t="s">
        <v>22</v>
      </c>
      <c r="E1044" s="3">
        <v>436137</v>
      </c>
      <c r="F1044">
        <v>79583</v>
      </c>
      <c r="G1044">
        <v>109</v>
      </c>
      <c r="H1044" s="1">
        <v>36557</v>
      </c>
      <c r="I1044" s="1" t="s">
        <v>1102</v>
      </c>
      <c r="J1044" t="s">
        <v>11</v>
      </c>
      <c r="K1044" s="2">
        <v>523.20000000000005</v>
      </c>
      <c r="L1044" s="1">
        <v>35523.199999999997</v>
      </c>
    </row>
    <row r="1045" spans="1:12" x14ac:dyDescent="0.35">
      <c r="A1045" t="s">
        <v>1068</v>
      </c>
      <c r="B1045" t="s">
        <v>28</v>
      </c>
      <c r="C1045" t="s">
        <v>13</v>
      </c>
      <c r="D1045" t="s">
        <v>22</v>
      </c>
      <c r="E1045" s="3">
        <v>252908</v>
      </c>
      <c r="F1045">
        <v>89129</v>
      </c>
      <c r="G1045">
        <v>64</v>
      </c>
      <c r="H1045" s="1">
        <v>0</v>
      </c>
      <c r="I1045" s="1" t="s">
        <v>1102</v>
      </c>
      <c r="J1045" t="s">
        <v>11</v>
      </c>
      <c r="K1045" s="2">
        <v>328.87086799999997</v>
      </c>
      <c r="L1045" s="1">
        <v>35328.870867997699</v>
      </c>
    </row>
    <row r="1046" spans="1:12" x14ac:dyDescent="0.35">
      <c r="A1046" t="s">
        <v>1069</v>
      </c>
      <c r="B1046" t="s">
        <v>28</v>
      </c>
      <c r="C1046" t="s">
        <v>19</v>
      </c>
      <c r="D1046" t="s">
        <v>26</v>
      </c>
      <c r="E1046" s="3">
        <v>250444</v>
      </c>
      <c r="F1046">
        <v>0</v>
      </c>
      <c r="G1046">
        <v>69</v>
      </c>
      <c r="H1046" s="1">
        <v>0</v>
      </c>
      <c r="I1046" s="1" t="s">
        <v>1102</v>
      </c>
      <c r="J1046" t="s">
        <v>11</v>
      </c>
      <c r="K1046" s="2">
        <v>496.8</v>
      </c>
      <c r="L1046" s="1">
        <v>35496.800000000003</v>
      </c>
    </row>
    <row r="1047" spans="1:12" x14ac:dyDescent="0.35">
      <c r="A1047" t="s">
        <v>1070</v>
      </c>
      <c r="B1047" t="s">
        <v>24</v>
      </c>
      <c r="C1047" t="s">
        <v>13</v>
      </c>
      <c r="D1047" t="s">
        <v>14</v>
      </c>
      <c r="E1047" s="3">
        <v>864970</v>
      </c>
      <c r="F1047">
        <v>94389</v>
      </c>
      <c r="G1047">
        <v>107</v>
      </c>
      <c r="H1047" s="1">
        <v>0</v>
      </c>
      <c r="I1047" s="1" t="s">
        <v>1105</v>
      </c>
      <c r="J1047" t="s">
        <v>20</v>
      </c>
      <c r="K1047" s="2">
        <v>85.063708000000005</v>
      </c>
      <c r="L1047" s="1">
        <v>35085.063707997702</v>
      </c>
    </row>
    <row r="1048" spans="1:12" x14ac:dyDescent="0.35">
      <c r="A1048" t="s">
        <v>1071</v>
      </c>
      <c r="B1048" t="s">
        <v>24</v>
      </c>
      <c r="C1048" t="s">
        <v>13</v>
      </c>
      <c r="D1048" t="s">
        <v>26</v>
      </c>
      <c r="E1048" s="3">
        <v>1366836</v>
      </c>
      <c r="F1048">
        <v>0</v>
      </c>
      <c r="G1048">
        <v>197</v>
      </c>
      <c r="H1048" s="1">
        <v>0</v>
      </c>
      <c r="I1048" s="1" t="s">
        <v>1102</v>
      </c>
      <c r="J1048" t="s">
        <v>20</v>
      </c>
      <c r="K1048" s="2">
        <v>1418.4</v>
      </c>
      <c r="L1048" s="1">
        <v>36418.400000000001</v>
      </c>
    </row>
    <row r="1049" spans="1:12" x14ac:dyDescent="0.35">
      <c r="A1049" t="s">
        <v>1072</v>
      </c>
      <c r="B1049" t="s">
        <v>24</v>
      </c>
      <c r="C1049" t="s">
        <v>13</v>
      </c>
      <c r="D1049" t="s">
        <v>22</v>
      </c>
      <c r="E1049" s="3">
        <v>2063508</v>
      </c>
      <c r="F1049">
        <v>84106</v>
      </c>
      <c r="G1049">
        <v>64</v>
      </c>
      <c r="H1049" s="1">
        <v>0</v>
      </c>
      <c r="I1049" s="1" t="s">
        <v>1102</v>
      </c>
      <c r="J1049" t="s">
        <v>17</v>
      </c>
      <c r="K1049" s="2">
        <v>334.40871700000002</v>
      </c>
      <c r="L1049" s="1">
        <v>35334.408717002298</v>
      </c>
    </row>
    <row r="1050" spans="1:12" x14ac:dyDescent="0.35">
      <c r="A1050" t="s">
        <v>1073</v>
      </c>
      <c r="B1050" t="s">
        <v>28</v>
      </c>
      <c r="C1050" t="s">
        <v>13</v>
      </c>
      <c r="D1050" t="s">
        <v>26</v>
      </c>
      <c r="E1050" s="3">
        <v>251753</v>
      </c>
      <c r="F1050">
        <v>0</v>
      </c>
      <c r="G1050">
        <v>69</v>
      </c>
      <c r="H1050" s="1">
        <v>0</v>
      </c>
      <c r="I1050" s="1" t="s">
        <v>1102</v>
      </c>
      <c r="J1050" t="s">
        <v>11</v>
      </c>
      <c r="K1050" s="2">
        <v>42.096415</v>
      </c>
      <c r="L1050" s="1">
        <v>35042.096415</v>
      </c>
    </row>
    <row r="1051" spans="1:12" x14ac:dyDescent="0.35">
      <c r="A1051" t="s">
        <v>1074</v>
      </c>
      <c r="B1051" t="s">
        <v>1</v>
      </c>
      <c r="C1051" t="s">
        <v>13</v>
      </c>
      <c r="D1051" t="s">
        <v>22</v>
      </c>
      <c r="E1051" s="3">
        <v>532668</v>
      </c>
      <c r="F1051">
        <v>76717</v>
      </c>
      <c r="G1051">
        <v>66</v>
      </c>
      <c r="H1051" s="1">
        <v>0</v>
      </c>
      <c r="I1051" s="1" t="s">
        <v>1102</v>
      </c>
      <c r="J1051" t="s">
        <v>17</v>
      </c>
      <c r="K1051" s="2">
        <v>300.52857899999998</v>
      </c>
      <c r="L1051" s="1">
        <v>35300.528579004596</v>
      </c>
    </row>
    <row r="1052" spans="1:12" x14ac:dyDescent="0.35">
      <c r="A1052" t="s">
        <v>1075</v>
      </c>
      <c r="B1052" t="s">
        <v>28</v>
      </c>
      <c r="C1052" t="s">
        <v>19</v>
      </c>
      <c r="D1052" t="s">
        <v>22</v>
      </c>
      <c r="E1052" s="3">
        <v>260027</v>
      </c>
      <c r="F1052">
        <v>51978</v>
      </c>
      <c r="G1052">
        <v>66</v>
      </c>
      <c r="H1052" s="1">
        <v>0</v>
      </c>
      <c r="I1052" s="1" t="s">
        <v>1105</v>
      </c>
      <c r="J1052" t="s">
        <v>11</v>
      </c>
      <c r="K1052" s="2">
        <v>144.782152</v>
      </c>
      <c r="L1052" s="1">
        <v>35144.782152002299</v>
      </c>
    </row>
    <row r="1053" spans="1:12" x14ac:dyDescent="0.35">
      <c r="A1053" t="s">
        <v>1076</v>
      </c>
      <c r="B1053" t="s">
        <v>24</v>
      </c>
      <c r="C1053" t="s">
        <v>13</v>
      </c>
      <c r="D1053" t="s">
        <v>14</v>
      </c>
      <c r="E1053" s="3">
        <v>853479</v>
      </c>
      <c r="F1053">
        <v>47325</v>
      </c>
      <c r="G1053">
        <v>107</v>
      </c>
      <c r="H1053" s="1">
        <v>0</v>
      </c>
      <c r="I1053" s="1" t="s">
        <v>1102</v>
      </c>
      <c r="J1053" t="s">
        <v>20</v>
      </c>
      <c r="K1053" s="2">
        <v>64.598215999999994</v>
      </c>
      <c r="L1053" s="1">
        <v>35064.5982159954</v>
      </c>
    </row>
    <row r="1054" spans="1:12" x14ac:dyDescent="0.35">
      <c r="A1054" t="s">
        <v>1077</v>
      </c>
      <c r="B1054" t="s">
        <v>24</v>
      </c>
      <c r="C1054" t="s">
        <v>19</v>
      </c>
      <c r="D1054" t="s">
        <v>22</v>
      </c>
      <c r="E1054" s="3">
        <v>882884</v>
      </c>
      <c r="F1054">
        <v>86721</v>
      </c>
      <c r="G1054">
        <v>111</v>
      </c>
      <c r="H1054" s="1">
        <v>0</v>
      </c>
      <c r="I1054" s="1" t="s">
        <v>1105</v>
      </c>
      <c r="J1054" t="s">
        <v>20</v>
      </c>
      <c r="K1054" s="2">
        <v>532.79999999999995</v>
      </c>
      <c r="L1054" s="1">
        <v>35532.800000000003</v>
      </c>
    </row>
    <row r="1055" spans="1:12" x14ac:dyDescent="0.35">
      <c r="A1055" t="s">
        <v>1078</v>
      </c>
      <c r="B1055" t="s">
        <v>16</v>
      </c>
      <c r="C1055" t="s">
        <v>13</v>
      </c>
      <c r="D1055" t="s">
        <v>14</v>
      </c>
      <c r="E1055" s="3">
        <v>224845</v>
      </c>
      <c r="F1055">
        <v>24910</v>
      </c>
      <c r="G1055">
        <v>63</v>
      </c>
      <c r="H1055" s="1">
        <v>36526</v>
      </c>
      <c r="I1055" s="1" t="s">
        <v>1102</v>
      </c>
      <c r="J1055" t="s">
        <v>11</v>
      </c>
      <c r="K1055" s="2">
        <v>347.857619</v>
      </c>
      <c r="L1055" s="1">
        <v>35347.857619004601</v>
      </c>
    </row>
    <row r="1056" spans="1:12" x14ac:dyDescent="0.35">
      <c r="A1056" t="s">
        <v>1079</v>
      </c>
      <c r="B1056" t="s">
        <v>8</v>
      </c>
      <c r="C1056" t="s">
        <v>13</v>
      </c>
      <c r="D1056" t="s">
        <v>14</v>
      </c>
      <c r="E1056" s="3">
        <v>1230276</v>
      </c>
      <c r="F1056">
        <v>43817</v>
      </c>
      <c r="G1056">
        <v>62</v>
      </c>
      <c r="H1056" s="1">
        <v>36526</v>
      </c>
      <c r="I1056" s="1" t="s">
        <v>1102</v>
      </c>
      <c r="J1056" t="s">
        <v>11</v>
      </c>
      <c r="K1056" s="2">
        <v>245.447622</v>
      </c>
      <c r="L1056" s="1">
        <v>35245.447622002299</v>
      </c>
    </row>
    <row r="1057" spans="1:12" x14ac:dyDescent="0.35">
      <c r="A1057" t="s">
        <v>1080</v>
      </c>
      <c r="B1057" t="s">
        <v>24</v>
      </c>
      <c r="C1057" t="s">
        <v>19</v>
      </c>
      <c r="D1057" t="s">
        <v>22</v>
      </c>
      <c r="E1057" s="3">
        <v>455659</v>
      </c>
      <c r="F1057">
        <v>0</v>
      </c>
      <c r="G1057">
        <v>73</v>
      </c>
      <c r="H1057" s="1">
        <v>36557</v>
      </c>
      <c r="I1057" s="1" t="s">
        <v>1102</v>
      </c>
      <c r="J1057" t="s">
        <v>11</v>
      </c>
      <c r="K1057" s="2">
        <v>525.6</v>
      </c>
      <c r="L1057" s="1">
        <v>35525.599999999999</v>
      </c>
    </row>
    <row r="1058" spans="1:12" x14ac:dyDescent="0.35">
      <c r="A1058" t="s">
        <v>1081</v>
      </c>
      <c r="B1058" t="s">
        <v>24</v>
      </c>
      <c r="C1058" t="s">
        <v>13</v>
      </c>
      <c r="D1058" t="s">
        <v>14</v>
      </c>
      <c r="E1058" s="3">
        <v>253071</v>
      </c>
      <c r="F1058">
        <v>89451</v>
      </c>
      <c r="G1058">
        <v>63</v>
      </c>
      <c r="H1058" s="1">
        <v>0</v>
      </c>
      <c r="I1058" s="1" t="s">
        <v>1105</v>
      </c>
      <c r="J1058" t="s">
        <v>11</v>
      </c>
      <c r="K1058" s="2">
        <v>61.769564000000003</v>
      </c>
      <c r="L1058" s="1">
        <v>35061.7695640046</v>
      </c>
    </row>
    <row r="1059" spans="1:12" x14ac:dyDescent="0.35">
      <c r="A1059" t="s">
        <v>1082</v>
      </c>
      <c r="B1059" t="s">
        <v>1</v>
      </c>
      <c r="C1059" t="s">
        <v>19</v>
      </c>
      <c r="D1059" t="s">
        <v>26</v>
      </c>
      <c r="E1059" s="3">
        <v>525198</v>
      </c>
      <c r="F1059">
        <v>59537</v>
      </c>
      <c r="G1059">
        <v>66</v>
      </c>
      <c r="H1059" s="1">
        <v>0</v>
      </c>
      <c r="I1059" s="1" t="s">
        <v>1102</v>
      </c>
      <c r="J1059" t="s">
        <v>17</v>
      </c>
      <c r="K1059" s="2">
        <v>316.8</v>
      </c>
      <c r="L1059" s="1">
        <v>35316.800000000003</v>
      </c>
    </row>
    <row r="1060" spans="1:12" x14ac:dyDescent="0.35">
      <c r="A1060" t="s">
        <v>1083</v>
      </c>
      <c r="B1060" t="s">
        <v>24</v>
      </c>
      <c r="C1060" t="s">
        <v>19</v>
      </c>
      <c r="D1060" t="s">
        <v>22</v>
      </c>
      <c r="E1060" s="3">
        <v>674312</v>
      </c>
      <c r="F1060">
        <v>0</v>
      </c>
      <c r="G1060">
        <v>199</v>
      </c>
      <c r="H1060" s="1">
        <v>0</v>
      </c>
      <c r="I1060" s="1" t="s">
        <v>1102</v>
      </c>
      <c r="J1060" t="s">
        <v>53</v>
      </c>
      <c r="K1060" s="2">
        <v>955.2</v>
      </c>
      <c r="L1060" s="1">
        <v>35955.199999999997</v>
      </c>
    </row>
    <row r="1061" spans="1:12" x14ac:dyDescent="0.35">
      <c r="A1061" t="s">
        <v>1084</v>
      </c>
      <c r="B1061" t="s">
        <v>24</v>
      </c>
      <c r="C1061" t="s">
        <v>19</v>
      </c>
      <c r="D1061" t="s">
        <v>26</v>
      </c>
      <c r="E1061" s="3">
        <v>1401472</v>
      </c>
      <c r="F1061">
        <v>54193</v>
      </c>
      <c r="G1061">
        <v>117</v>
      </c>
      <c r="H1061" s="1">
        <v>0</v>
      </c>
      <c r="I1061" s="1" t="s">
        <v>1105</v>
      </c>
      <c r="J1061" t="s">
        <v>20</v>
      </c>
      <c r="K1061" s="2">
        <v>720.75294499999995</v>
      </c>
      <c r="L1061" s="1">
        <v>35720.752945</v>
      </c>
    </row>
    <row r="1062" spans="1:12" x14ac:dyDescent="0.35">
      <c r="A1062" t="s">
        <v>1085</v>
      </c>
      <c r="B1062" t="s">
        <v>24</v>
      </c>
      <c r="C1062" t="s">
        <v>19</v>
      </c>
      <c r="D1062" t="s">
        <v>26</v>
      </c>
      <c r="E1062" s="3">
        <v>943892</v>
      </c>
      <c r="F1062">
        <v>86946</v>
      </c>
      <c r="G1062">
        <v>118</v>
      </c>
      <c r="H1062" s="1">
        <v>0</v>
      </c>
      <c r="I1062" s="1" t="s">
        <v>1102</v>
      </c>
      <c r="J1062" t="s">
        <v>11</v>
      </c>
      <c r="K1062" s="2">
        <v>340.65696300000002</v>
      </c>
      <c r="L1062" s="1">
        <v>35340.6569675926</v>
      </c>
    </row>
    <row r="1063" spans="1:12" x14ac:dyDescent="0.35">
      <c r="A1063" t="s">
        <v>1086</v>
      </c>
      <c r="B1063" t="s">
        <v>1</v>
      </c>
      <c r="C1063" t="s">
        <v>13</v>
      </c>
      <c r="D1063" t="s">
        <v>14</v>
      </c>
      <c r="E1063" s="3">
        <v>1050677</v>
      </c>
      <c r="F1063">
        <v>0</v>
      </c>
      <c r="G1063">
        <v>92</v>
      </c>
      <c r="H1063" s="1">
        <v>0</v>
      </c>
      <c r="I1063" s="1" t="s">
        <v>1102</v>
      </c>
      <c r="J1063" t="s">
        <v>11</v>
      </c>
      <c r="K1063" s="2">
        <v>546.52489600000001</v>
      </c>
      <c r="L1063" s="1">
        <v>35546.524895995397</v>
      </c>
    </row>
    <row r="1064" spans="1:12" x14ac:dyDescent="0.35">
      <c r="A1064" t="s">
        <v>1087</v>
      </c>
      <c r="B1064" t="s">
        <v>28</v>
      </c>
      <c r="C1064" t="s">
        <v>13</v>
      </c>
      <c r="D1064" t="s">
        <v>22</v>
      </c>
      <c r="E1064" s="3">
        <v>421392</v>
      </c>
      <c r="F1064">
        <v>12160</v>
      </c>
      <c r="G1064">
        <v>109</v>
      </c>
      <c r="H1064" s="1">
        <v>0</v>
      </c>
      <c r="I1064" s="1" t="s">
        <v>1102</v>
      </c>
      <c r="J1064" t="s">
        <v>11</v>
      </c>
      <c r="K1064" s="2">
        <v>489.411833</v>
      </c>
      <c r="L1064" s="1">
        <v>35489.411832997699</v>
      </c>
    </row>
    <row r="1065" spans="1:12" x14ac:dyDescent="0.35">
      <c r="A1065" t="s">
        <v>1088</v>
      </c>
      <c r="B1065" t="s">
        <v>1</v>
      </c>
      <c r="C1065" t="s">
        <v>19</v>
      </c>
      <c r="D1065" t="s">
        <v>26</v>
      </c>
      <c r="E1065" s="3">
        <v>477369</v>
      </c>
      <c r="F1065">
        <v>33701</v>
      </c>
      <c r="G1065">
        <v>63</v>
      </c>
      <c r="H1065" s="1">
        <v>0</v>
      </c>
      <c r="I1065" s="1" t="s">
        <v>1102</v>
      </c>
      <c r="J1065" t="s">
        <v>11</v>
      </c>
      <c r="K1065" s="2">
        <v>171.32585599999999</v>
      </c>
      <c r="L1065" s="1">
        <v>35171.325855995397</v>
      </c>
    </row>
    <row r="1066" spans="1:12" x14ac:dyDescent="0.35">
      <c r="A1066" t="s">
        <v>1089</v>
      </c>
      <c r="B1066" t="s">
        <v>8</v>
      </c>
      <c r="C1066" t="s">
        <v>13</v>
      </c>
      <c r="D1066" t="s">
        <v>14</v>
      </c>
      <c r="E1066" s="3">
        <v>544142</v>
      </c>
      <c r="F1066">
        <v>85702</v>
      </c>
      <c r="G1066">
        <v>67</v>
      </c>
      <c r="H1066" s="1">
        <v>0</v>
      </c>
      <c r="I1066" s="1" t="s">
        <v>1102</v>
      </c>
      <c r="J1066" t="s">
        <v>17</v>
      </c>
      <c r="K1066" s="2">
        <v>249.08588700000001</v>
      </c>
      <c r="L1066" s="1">
        <v>35249.0858870023</v>
      </c>
    </row>
    <row r="1067" spans="1:12" x14ac:dyDescent="0.35">
      <c r="A1067" t="s">
        <v>1090</v>
      </c>
      <c r="B1067" t="s">
        <v>1</v>
      </c>
      <c r="C1067" t="s">
        <v>19</v>
      </c>
      <c r="D1067" t="s">
        <v>14</v>
      </c>
      <c r="E1067" s="3">
        <v>284227</v>
      </c>
      <c r="F1067">
        <v>69417</v>
      </c>
      <c r="G1067">
        <v>73</v>
      </c>
      <c r="H1067" s="1">
        <v>36526</v>
      </c>
      <c r="I1067" s="1" t="s">
        <v>1102</v>
      </c>
      <c r="J1067" t="s">
        <v>11</v>
      </c>
      <c r="K1067" s="2">
        <v>30.874869</v>
      </c>
      <c r="L1067" s="1">
        <v>35030.874869004598</v>
      </c>
    </row>
    <row r="1068" spans="1:12" x14ac:dyDescent="0.35">
      <c r="A1068" t="s">
        <v>1091</v>
      </c>
      <c r="B1068" t="s">
        <v>24</v>
      </c>
      <c r="C1068" t="s">
        <v>19</v>
      </c>
      <c r="D1068" t="s">
        <v>10</v>
      </c>
      <c r="E1068" s="3">
        <v>305955</v>
      </c>
      <c r="F1068">
        <v>38644</v>
      </c>
      <c r="G1068">
        <v>78</v>
      </c>
      <c r="H1068" s="1">
        <v>36526</v>
      </c>
      <c r="I1068" s="1" t="s">
        <v>1102</v>
      </c>
      <c r="J1068" t="s">
        <v>11</v>
      </c>
      <c r="K1068" s="2">
        <v>361.455219</v>
      </c>
      <c r="L1068" s="1">
        <v>35361.455219004602</v>
      </c>
    </row>
    <row r="1069" spans="1:12" x14ac:dyDescent="0.35">
      <c r="A1069" t="s">
        <v>1092</v>
      </c>
      <c r="B1069" t="s">
        <v>1</v>
      </c>
      <c r="C1069" t="s">
        <v>13</v>
      </c>
      <c r="D1069" t="s">
        <v>22</v>
      </c>
      <c r="E1069" s="3">
        <v>2031500</v>
      </c>
      <c r="F1069">
        <v>63209</v>
      </c>
      <c r="G1069">
        <v>102</v>
      </c>
      <c r="H1069" s="1">
        <v>36557</v>
      </c>
      <c r="I1069" s="1" t="s">
        <v>1102</v>
      </c>
      <c r="J1069" t="s">
        <v>20</v>
      </c>
      <c r="K1069" s="2">
        <v>207.320041</v>
      </c>
      <c r="L1069" s="1">
        <v>35207.320040995401</v>
      </c>
    </row>
    <row r="1070" spans="1:12" x14ac:dyDescent="0.35">
      <c r="A1070" t="s">
        <v>1093</v>
      </c>
      <c r="B1070" t="s">
        <v>28</v>
      </c>
      <c r="C1070" t="s">
        <v>13</v>
      </c>
      <c r="D1070" t="s">
        <v>14</v>
      </c>
      <c r="E1070" s="3">
        <v>323912</v>
      </c>
      <c r="F1070">
        <v>16061</v>
      </c>
      <c r="G1070">
        <v>88</v>
      </c>
      <c r="H1070" s="1">
        <v>0</v>
      </c>
      <c r="I1070" s="1" t="s">
        <v>1102</v>
      </c>
      <c r="J1070" t="s">
        <v>11</v>
      </c>
      <c r="K1070" s="2">
        <v>633.6</v>
      </c>
      <c r="L1070" s="1">
        <v>35633.599999999999</v>
      </c>
    </row>
    <row r="1071" spans="1:12" x14ac:dyDescent="0.35">
      <c r="A1071" t="s">
        <v>1094</v>
      </c>
      <c r="B1071" t="s">
        <v>1</v>
      </c>
      <c r="C1071" t="s">
        <v>13</v>
      </c>
      <c r="D1071" t="s">
        <v>10</v>
      </c>
      <c r="E1071" s="3">
        <v>462680</v>
      </c>
      <c r="F1071">
        <v>79487</v>
      </c>
      <c r="G1071">
        <v>114</v>
      </c>
      <c r="H1071" s="1">
        <v>0</v>
      </c>
      <c r="I1071" s="1" t="s">
        <v>1112</v>
      </c>
      <c r="J1071" t="s">
        <v>20</v>
      </c>
      <c r="K1071" s="2">
        <v>547.20000000000005</v>
      </c>
      <c r="L1071" s="1">
        <v>35547.199999999997</v>
      </c>
    </row>
    <row r="1072" spans="1:12" x14ac:dyDescent="0.35">
      <c r="A1072" t="s">
        <v>1095</v>
      </c>
      <c r="B1072" t="s">
        <v>1</v>
      </c>
      <c r="C1072" t="s">
        <v>13</v>
      </c>
      <c r="D1072" t="s">
        <v>26</v>
      </c>
      <c r="E1072" s="3">
        <v>899704</v>
      </c>
      <c r="F1072">
        <v>54230</v>
      </c>
      <c r="G1072">
        <v>112</v>
      </c>
      <c r="H1072" s="1">
        <v>0</v>
      </c>
      <c r="I1072" s="1" t="s">
        <v>1102</v>
      </c>
      <c r="J1072" t="s">
        <v>17</v>
      </c>
      <c r="K1072" s="2">
        <v>537.6</v>
      </c>
      <c r="L1072" s="1">
        <v>35537.599999999999</v>
      </c>
    </row>
  </sheetData>
  <autoFilter ref="A1:L1" xr:uid="{F6F6C482-14D1-4A25-9E3F-653B481962D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7a876c-1f81-439c-a896-3dd76f78a69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48EE434E1DD24498254637765FD30E" ma:contentTypeVersion="5" ma:contentTypeDescription="Create a new document." ma:contentTypeScope="" ma:versionID="f3f40c9262f0857c98eb5b1622932ec0">
  <xsd:schema xmlns:xsd="http://www.w3.org/2001/XMLSchema" xmlns:xs="http://www.w3.org/2001/XMLSchema" xmlns:p="http://schemas.microsoft.com/office/2006/metadata/properties" xmlns:ns3="027a876c-1f81-439c-a896-3dd76f78a693" targetNamespace="http://schemas.microsoft.com/office/2006/metadata/properties" ma:root="true" ma:fieldsID="0e14f3048e055e02a90be044d7a82624" ns3:_="">
    <xsd:import namespace="027a876c-1f81-439c-a896-3dd76f78a69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a876c-1f81-439c-a896-3dd76f78a69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0B82F-5163-42D6-904F-5FB7F5CFB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75DFE9-33ED-40FC-A74D-1028D027D6B4}">
  <ds:schemaRefs>
    <ds:schemaRef ds:uri="http://schemas.microsoft.com/office/2006/metadata/properties"/>
    <ds:schemaRef ds:uri="http://schemas.microsoft.com/office/infopath/2007/PartnerControls"/>
    <ds:schemaRef ds:uri="027a876c-1f81-439c-a896-3dd76f78a693"/>
  </ds:schemaRefs>
</ds:datastoreItem>
</file>

<file path=customXml/itemProps3.xml><?xml version="1.0" encoding="utf-8"?>
<ds:datastoreItem xmlns:ds="http://schemas.openxmlformats.org/officeDocument/2006/customXml" ds:itemID="{05C0C81F-2132-41DB-9131-7F5C7132A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a876c-1f81-439c-a896-3dd76f78a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Ariadna Moliner Salguero</dc:creator>
  <cp:keywords/>
  <dc:description/>
  <cp:lastModifiedBy>Mariona Floris Martin</cp:lastModifiedBy>
  <cp:revision>0</cp:revision>
  <dcterms:created xsi:type="dcterms:W3CDTF">2026-09-10T10:14:14Z</dcterms:created>
  <dcterms:modified xsi:type="dcterms:W3CDTF">2026-09-10T14:08:15Z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0x0101004348EE434E1DD24498254637765FD30E</vt:lpwstr>
  </property>
</Properties>
</file>